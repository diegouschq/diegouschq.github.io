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qu\Desktop\SQL\"/>
    </mc:Choice>
  </mc:AlternateContent>
  <xr:revisionPtr revIDLastSave="0" documentId="13_ncr:1_{99FF6C58-3E67-4345-B82B-7825F1D0BFAA}" xr6:coauthVersionLast="47" xr6:coauthVersionMax="47" xr10:uidLastSave="{00000000-0000-0000-0000-000000000000}"/>
  <bookViews>
    <workbookView xWindow="14388" yWindow="0" windowWidth="8748" windowHeight="12336" xr2:uid="{000033D3-888A-42D6-8C45-76124601A7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4" i="1" l="1"/>
  <c r="B26" i="2"/>
  <c r="B24" i="2"/>
  <c r="N44" i="1"/>
  <c r="F276" i="1"/>
  <c r="N45" i="1"/>
  <c r="J1004" i="1"/>
  <c r="J1003" i="1"/>
  <c r="B24" i="1"/>
  <c r="F277" i="1"/>
  <c r="B23" i="1"/>
</calcChain>
</file>

<file path=xl/sharedStrings.xml><?xml version="1.0" encoding="utf-8"?>
<sst xmlns="http://schemas.openxmlformats.org/spreadsheetml/2006/main" count="2017" uniqueCount="1101">
  <si>
    <t># fd</t>
  </si>
  <si>
    <t>count</t>
  </si>
  <si>
    <t>priv</t>
  </si>
  <si>
    <t>$</t>
  </si>
  <si>
    <t>share room</t>
  </si>
  <si>
    <t>hom</t>
  </si>
  <si>
    <t>hotel</t>
  </si>
  <si>
    <t># listing_url</t>
  </si>
  <si>
    <t>neighbourhood_cleansed</t>
  </si>
  <si>
    <t>price</t>
  </si>
  <si>
    <t>https://www.airbnb.com/rooms/1480878460654514926</t>
  </si>
  <si>
    <t>Otay Ranch</t>
  </si>
  <si>
    <t>https://www.airbnb.com/rooms/716755666767949787</t>
  </si>
  <si>
    <t>Gaslamp Quarter</t>
  </si>
  <si>
    <t>https://www.airbnb.com/rooms/1463227918328210884</t>
  </si>
  <si>
    <t>Columbia</t>
  </si>
  <si>
    <t>https://www.airbnb.com/rooms/875551661925819407</t>
  </si>
  <si>
    <t>La Jolla</t>
  </si>
  <si>
    <t>https://www.airbnb.com/rooms/1476331846593826860</t>
  </si>
  <si>
    <t>https://www.airbnb.com/rooms/1474807533413507095</t>
  </si>
  <si>
    <t>https://www.airbnb.com/rooms/920021652485745131</t>
  </si>
  <si>
    <t>Valencia Park</t>
  </si>
  <si>
    <t>https://www.airbnb.com/rooms/13795613</t>
  </si>
  <si>
    <t>Pacific Beach</t>
  </si>
  <si>
    <t>https://www.airbnb.com/rooms/1454763067415499243</t>
  </si>
  <si>
    <t>Bay Terrace</t>
  </si>
  <si>
    <t>https://www.airbnb.com/rooms/50941923</t>
  </si>
  <si>
    <t>Tijuana River Valley</t>
  </si>
  <si>
    <t>https://www.airbnb.com/rooms/75668</t>
  </si>
  <si>
    <t>North Hills</t>
  </si>
  <si>
    <t>https://www.airbnb.com/rooms/1111278519675436553</t>
  </si>
  <si>
    <t>https://www.airbnb.com/rooms/875390604152634650</t>
  </si>
  <si>
    <t>https://www.airbnb.com/rooms/875542784896303091</t>
  </si>
  <si>
    <t>https://www.airbnb.com/rooms/79300</t>
  </si>
  <si>
    <t>https://www.airbnb.com/rooms/875601474573234628</t>
  </si>
  <si>
    <t>https://www.airbnb.com/rooms/1255506952827984244</t>
  </si>
  <si>
    <t>https://www.airbnb.com/rooms/5696748</t>
  </si>
  <si>
    <t>Carmel Valley</t>
  </si>
  <si>
    <t>https://www.airbnb.com/rooms/22066636</t>
  </si>
  <si>
    <t>North Clairemont</t>
  </si>
  <si>
    <t>https://www.airbnb.com/rooms/874882560990313111</t>
  </si>
  <si>
    <t>https://www.airbnb.com/rooms/1222400720888460418</t>
  </si>
  <si>
    <t>East Village</t>
  </si>
  <si>
    <t>https://www.airbnb.com/rooms/1221827238699641800</t>
  </si>
  <si>
    <t>https://www.airbnb.com/rooms/1016704160374144401</t>
  </si>
  <si>
    <t>Mission Bay</t>
  </si>
  <si>
    <t>https://www.airbnb.com/rooms/1011604282383338500</t>
  </si>
  <si>
    <t>https://www.airbnb.com/rooms/1000627496311653911</t>
  </si>
  <si>
    <t>Torrey Pines</t>
  </si>
  <si>
    <t>https://www.airbnb.com/rooms/1000651885557157337</t>
  </si>
  <si>
    <t>https://www.airbnb.com/rooms/1015895899851804314</t>
  </si>
  <si>
    <t>https://www.airbnb.com/rooms/1000553574719155279</t>
  </si>
  <si>
    <t>https://www.airbnb.com/rooms/1000557266483849560</t>
  </si>
  <si>
    <t>https://www.airbnb.com/rooms/1000534285238574644</t>
  </si>
  <si>
    <t>https://www.airbnb.com/rooms/853646096680521468</t>
  </si>
  <si>
    <t>https://www.airbnb.com/rooms/1000540231639654678</t>
  </si>
  <si>
    <t>https://www.airbnb.com/rooms/853644369616687111</t>
  </si>
  <si>
    <t>https://www.airbnb.com/rooms/1000647410238875506</t>
  </si>
  <si>
    <t>https://www.airbnb.com/rooms/1122082203065797867</t>
  </si>
  <si>
    <t>Grant Hill</t>
  </si>
  <si>
    <t>https://www.airbnb.com/rooms/740910420057247186</t>
  </si>
  <si>
    <t>https://www.airbnb.com/rooms/241210</t>
  </si>
  <si>
    <t>https://www.airbnb.com/rooms/956520794137007380</t>
  </si>
  <si>
    <t>College Area</t>
  </si>
  <si>
    <t>https://www.airbnb.com/rooms/26302492</t>
  </si>
  <si>
    <t>Rancho Bernadino</t>
  </si>
  <si>
    <t>https://www.airbnb.com/rooms/1112242586509856697</t>
  </si>
  <si>
    <t>https://www.airbnb.com/rooms/875414094177453549</t>
  </si>
  <si>
    <t>https://www.airbnb.com/rooms/671031529867716715</t>
  </si>
  <si>
    <t>Cortez Hill</t>
  </si>
  <si>
    <t>https://www.airbnb.com/rooms/1086945730680840260</t>
  </si>
  <si>
    <t>Midtown District</t>
  </si>
  <si>
    <t>https://www.airbnb.com/rooms/32933842</t>
  </si>
  <si>
    <t>Mira Mesa</t>
  </si>
  <si>
    <t>https://www.airbnb.com/rooms/1346344168157663798</t>
  </si>
  <si>
    <t>Rancho Penasquitos</t>
  </si>
  <si>
    <t>https://www.airbnb.com/rooms/659443909219219807</t>
  </si>
  <si>
    <t>Linda Vista</t>
  </si>
  <si>
    <t>https://www.airbnb.com/rooms/1314524308336996792</t>
  </si>
  <si>
    <t>https://www.airbnb.com/rooms/715332843702484495</t>
  </si>
  <si>
    <t>Core</t>
  </si>
  <si>
    <t>https://www.airbnb.com/rooms/1152111087317929481</t>
  </si>
  <si>
    <t>https://www.airbnb.com/rooms/887292540587337770</t>
  </si>
  <si>
    <t>https://www.airbnb.com/rooms/22403283</t>
  </si>
  <si>
    <t>https://www.airbnb.com/rooms/676754596753800658</t>
  </si>
  <si>
    <t>https://www.airbnb.com/rooms/875520129901771737</t>
  </si>
  <si>
    <t>https://www.airbnb.com/rooms/663070386296693059</t>
  </si>
  <si>
    <t>https://www.airbnb.com/rooms/5696509</t>
  </si>
  <si>
    <t>https://www.airbnb.com/rooms/619026257687206076</t>
  </si>
  <si>
    <t>https://www.airbnb.com/rooms/39655448</t>
  </si>
  <si>
    <t>Lake Murray</t>
  </si>
  <si>
    <t>https://www.airbnb.com/rooms/776016772048733928</t>
  </si>
  <si>
    <t>https://www.airbnb.com/rooms/14183328</t>
  </si>
  <si>
    <t>https://www.airbnb.com/rooms/904376942471256636</t>
  </si>
  <si>
    <t>https://www.airbnb.com/rooms/1302014927641472591</t>
  </si>
  <si>
    <t>https://www.airbnb.com/rooms/1139270205535843334</t>
  </si>
  <si>
    <t>https://www.airbnb.com/rooms/961195860830799170</t>
  </si>
  <si>
    <t>Encanto</t>
  </si>
  <si>
    <t>https://www.airbnb.com/rooms/20309311</t>
  </si>
  <si>
    <t>https://www.airbnb.com/rooms/1260433592431499198</t>
  </si>
  <si>
    <t>https://www.airbnb.com/rooms/1147283010751291955</t>
  </si>
  <si>
    <t>Mission Valley</t>
  </si>
  <si>
    <t>https://www.airbnb.com/rooms/19929524</t>
  </si>
  <si>
    <t>https://www.airbnb.com/rooms/1465187872828668625</t>
  </si>
  <si>
    <t>https://www.airbnb.com/rooms/1463228281593794124</t>
  </si>
  <si>
    <t>https://www.airbnb.com/rooms/31591557</t>
  </si>
  <si>
    <t>https://www.airbnb.com/rooms/1378219513489177184</t>
  </si>
  <si>
    <t>https://www.airbnb.com/rooms/1140213412777746588</t>
  </si>
  <si>
    <t>https://www.airbnb.com/rooms/41930894</t>
  </si>
  <si>
    <t>https://www.airbnb.com/rooms/41109501</t>
  </si>
  <si>
    <t>https://www.airbnb.com/rooms/52520694</t>
  </si>
  <si>
    <t>https://www.airbnb.com/rooms/1403298409031431796</t>
  </si>
  <si>
    <t>Memorial</t>
  </si>
  <si>
    <t>https://www.airbnb.com/rooms/35421448</t>
  </si>
  <si>
    <t>Midtown</t>
  </si>
  <si>
    <t>https://www.airbnb.com/rooms/18011360</t>
  </si>
  <si>
    <t>https://www.airbnb.com/rooms/1003165099610687293</t>
  </si>
  <si>
    <t>https://www.airbnb.com/rooms/918743</t>
  </si>
  <si>
    <t>https://www.airbnb.com/rooms/878820923526222905</t>
  </si>
  <si>
    <t>https://www.airbnb.com/rooms/1415859731837023877</t>
  </si>
  <si>
    <t>https://www.airbnb.com/rooms/637096702494989429</t>
  </si>
  <si>
    <t>https://www.airbnb.com/rooms/44448254</t>
  </si>
  <si>
    <t>https://www.airbnb.com/rooms/1428595387776336654</t>
  </si>
  <si>
    <t>https://www.airbnb.com/rooms/24349434</t>
  </si>
  <si>
    <t>https://www.airbnb.com/rooms/21826614</t>
  </si>
  <si>
    <t>https://www.airbnb.com/rooms/593674850863849599</t>
  </si>
  <si>
    <t>https://www.airbnb.com/rooms/1713841</t>
  </si>
  <si>
    <t>Clairemont Mesa</t>
  </si>
  <si>
    <t>https://www.airbnb.com/rooms/35717401</t>
  </si>
  <si>
    <t>https://www.airbnb.com/rooms/1497772871178239362</t>
  </si>
  <si>
    <t>https://www.airbnb.com/rooms/26066813</t>
  </si>
  <si>
    <t>https://www.airbnb.com/rooms/984355688700158712</t>
  </si>
  <si>
    <t>https://www.airbnb.com/rooms/671015963669454118</t>
  </si>
  <si>
    <t>https://www.airbnb.com/rooms/871926709210680770</t>
  </si>
  <si>
    <t>https://www.airbnb.com/rooms/25745817</t>
  </si>
  <si>
    <t>https://www.airbnb.com/rooms/39755930</t>
  </si>
  <si>
    <t>https://www.airbnb.com/rooms/928868020614911619</t>
  </si>
  <si>
    <t>Emerald Hills</t>
  </si>
  <si>
    <t>https://www.airbnb.com/rooms/37691265</t>
  </si>
  <si>
    <t>https://www.airbnb.com/rooms/1064801342956060223</t>
  </si>
  <si>
    <t>Normal Heights</t>
  </si>
  <si>
    <t>https://www.airbnb.com/rooms/50231197</t>
  </si>
  <si>
    <t>https://www.airbnb.com/rooms/1492344669517970230</t>
  </si>
  <si>
    <t>El Cerritos</t>
  </si>
  <si>
    <t>https://www.airbnb.com/rooms/48525308</t>
  </si>
  <si>
    <t>https://www.airbnb.com/rooms/6588780</t>
  </si>
  <si>
    <t>Balboa Park</t>
  </si>
  <si>
    <t>https://www.airbnb.com/rooms/16873171</t>
  </si>
  <si>
    <t>Oak Park</t>
  </si>
  <si>
    <t>https://www.airbnb.com/rooms/669908438978325769</t>
  </si>
  <si>
    <t>Egger Highlands</t>
  </si>
  <si>
    <t>https://www.airbnb.com/rooms/49384473</t>
  </si>
  <si>
    <t>https://www.airbnb.com/rooms/917699972660087554</t>
  </si>
  <si>
    <t>https://www.airbnb.com/rooms/1157972063855312665</t>
  </si>
  <si>
    <t>https://www.airbnb.com/rooms/1209540983972830604</t>
  </si>
  <si>
    <t>https://www.airbnb.com/rooms/35543207</t>
  </si>
  <si>
    <t>https://www.airbnb.com/rooms/6588843</t>
  </si>
  <si>
    <t>https://www.airbnb.com/rooms/869797122375116819</t>
  </si>
  <si>
    <t>Grantville</t>
  </si>
  <si>
    <t>https://www.airbnb.com/rooms/1006618342182767755</t>
  </si>
  <si>
    <t>https://www.airbnb.com/rooms/1160439806158480927</t>
  </si>
  <si>
    <t>https://www.airbnb.com/rooms/1390077114107814129</t>
  </si>
  <si>
    <t>https://www.airbnb.com/rooms/883018119074508748</t>
  </si>
  <si>
    <t>https://www.airbnb.com/rooms/1113264536814540613</t>
  </si>
  <si>
    <t>Darnall</t>
  </si>
  <si>
    <t>https://www.airbnb.com/rooms/1390013755513461820</t>
  </si>
  <si>
    <t>https://www.airbnb.com/rooms/1415668647857961224</t>
  </si>
  <si>
    <t>https://www.airbnb.com/rooms/1169097516305643933</t>
  </si>
  <si>
    <t>Southwest</t>
  </si>
  <si>
    <t>https://www.airbnb.com/rooms/1209498613703679493</t>
  </si>
  <si>
    <t>https://www.airbnb.com/rooms/39111138</t>
  </si>
  <si>
    <t>Bay Park</t>
  </si>
  <si>
    <t>https://www.airbnb.com/rooms/38819876</t>
  </si>
  <si>
    <t>https://www.airbnb.com/rooms/1086944267649091246</t>
  </si>
  <si>
    <t>https://www.airbnb.com/rooms/1086944229729437860</t>
  </si>
  <si>
    <t>https://www.airbnb.com/rooms/46224150</t>
  </si>
  <si>
    <t>https://www.airbnb.com/rooms/1289104509247287599</t>
  </si>
  <si>
    <t>Rolando</t>
  </si>
  <si>
    <t>https://www.airbnb.com/rooms/5022765</t>
  </si>
  <si>
    <t>https://www.airbnb.com/rooms/1031535979705985110</t>
  </si>
  <si>
    <t>https://www.airbnb.com/rooms/1292209244024793211</t>
  </si>
  <si>
    <t>https://www.airbnb.com/rooms/34825103</t>
  </si>
  <si>
    <t>Serra Mesa</t>
  </si>
  <si>
    <t>https://www.airbnb.com/rooms/1100693747233001303</t>
  </si>
  <si>
    <t>https://www.airbnb.com/rooms/686241131318154405</t>
  </si>
  <si>
    <t>https://www.airbnb.com/rooms/1092803862669764355</t>
  </si>
  <si>
    <t>https://www.airbnb.com/rooms/1080188670297543554</t>
  </si>
  <si>
    <t>https://www.airbnb.com/rooms/1024565118705239724</t>
  </si>
  <si>
    <t>https://www.airbnb.com/rooms/1015898644765387575</t>
  </si>
  <si>
    <t>https://www.airbnb.com/rooms/853650760603268970</t>
  </si>
  <si>
    <t>https://www.airbnb.com/rooms/853651230502866742</t>
  </si>
  <si>
    <t>https://www.airbnb.com/rooms/853652839554771039</t>
  </si>
  <si>
    <t>https://www.airbnb.com/rooms/853653678315646856</t>
  </si>
  <si>
    <t>https://www.airbnb.com/rooms/853648121854360417</t>
  </si>
  <si>
    <t>https://www.airbnb.com/rooms/19473878</t>
  </si>
  <si>
    <t>San Ysidro</t>
  </si>
  <si>
    <t>https://www.airbnb.com/rooms/25268522</t>
  </si>
  <si>
    <t>https://www.airbnb.com/rooms/6774196</t>
  </si>
  <si>
    <t>Jomacha-Lomita</t>
  </si>
  <si>
    <t>https://www.airbnb.com/rooms/1278744288943920665</t>
  </si>
  <si>
    <t>https://www.airbnb.com/rooms/6693775</t>
  </si>
  <si>
    <t>https://www.airbnb.com/rooms/1112578119116546518</t>
  </si>
  <si>
    <t>https://www.airbnb.com/rooms/48508107</t>
  </si>
  <si>
    <t>Loma Portal</t>
  </si>
  <si>
    <t>https://www.airbnb.com/rooms/28938416</t>
  </si>
  <si>
    <t>https://www.airbnb.com/rooms/28055565</t>
  </si>
  <si>
    <t>https://www.airbnb.com/rooms/5347574</t>
  </si>
  <si>
    <t>https://www.airbnb.com/rooms/1497903327140658370</t>
  </si>
  <si>
    <t>https://www.airbnb.com/rooms/1167096975055846284</t>
  </si>
  <si>
    <t>https://www.airbnb.com/rooms/1501847281070309442</t>
  </si>
  <si>
    <t>https://www.airbnb.com/rooms/3220156</t>
  </si>
  <si>
    <t>https://www.airbnb.com/rooms/2989832</t>
  </si>
  <si>
    <t>https://www.airbnb.com/rooms/2959224</t>
  </si>
  <si>
    <t>https://www.airbnb.com/rooms/21906749</t>
  </si>
  <si>
    <t>https://www.airbnb.com/rooms/51104583</t>
  </si>
  <si>
    <t>Old Town</t>
  </si>
  <si>
    <t>https://www.airbnb.com/rooms/39298868</t>
  </si>
  <si>
    <t>https://www.airbnb.com/rooms/25268691</t>
  </si>
  <si>
    <t>https://www.airbnb.com/rooms/1254407493139981072</t>
  </si>
  <si>
    <t>https://www.airbnb.com/rooms/1377892127670953239</t>
  </si>
  <si>
    <t>https://www.airbnb.com/rooms/25268820</t>
  </si>
  <si>
    <t>https://www.airbnb.com/rooms/966147596921892328</t>
  </si>
  <si>
    <t>Allied Gardens</t>
  </si>
  <si>
    <t>https://www.airbnb.com/rooms/15953293</t>
  </si>
  <si>
    <t>https://www.airbnb.com/rooms/650789806144080309</t>
  </si>
  <si>
    <t>https://www.airbnb.com/rooms/1021687963984036802</t>
  </si>
  <si>
    <t>https://www.airbnb.com/rooms/38802598</t>
  </si>
  <si>
    <t>https://www.airbnb.com/rooms/37913456</t>
  </si>
  <si>
    <t>Sabre Springs</t>
  </si>
  <si>
    <t>https://www.airbnb.com/rooms/53757250</t>
  </si>
  <si>
    <t>https://www.airbnb.com/rooms/47447406</t>
  </si>
  <si>
    <t>https://www.airbnb.com/rooms/13193714</t>
  </si>
  <si>
    <t>Paseo Ranchoero</t>
  </si>
  <si>
    <t>https://www.airbnb.com/rooms/1274792849134720241</t>
  </si>
  <si>
    <t>https://www.airbnb.com/rooms/1274791405939590338</t>
  </si>
  <si>
    <t>https://www.airbnb.com/rooms/1420003550242862796</t>
  </si>
  <si>
    <t>https://www.airbnb.com/rooms/42862975</t>
  </si>
  <si>
    <t>https://www.airbnb.com/rooms/13192557</t>
  </si>
  <si>
    <t>https://www.airbnb.com/rooms/622441165819870832</t>
  </si>
  <si>
    <t>https://www.airbnb.com/rooms/792298023552720729</t>
  </si>
  <si>
    <t>Moreno Mission</t>
  </si>
  <si>
    <t>https://www.airbnb.com/rooms/45908488</t>
  </si>
  <si>
    <t>https://www.airbnb.com/rooms/24656273</t>
  </si>
  <si>
    <t>https://www.airbnb.com/rooms/1033429653271068229</t>
  </si>
  <si>
    <t>San Carlos</t>
  </si>
  <si>
    <t>https://www.airbnb.com/rooms/1261728042587451796</t>
  </si>
  <si>
    <t>Paradise Hills</t>
  </si>
  <si>
    <t>https://www.airbnb.com/rooms/1460631337784399920</t>
  </si>
  <si>
    <t>https://www.airbnb.com/rooms/17634558</t>
  </si>
  <si>
    <t>https://www.airbnb.com/rooms/875534886344560593</t>
  </si>
  <si>
    <t>https://www.airbnb.com/rooms/52793892</t>
  </si>
  <si>
    <t>https://www.airbnb.com/rooms/1140618026404933476</t>
  </si>
  <si>
    <t>https://www.airbnb.com/rooms/1457486812517916502</t>
  </si>
  <si>
    <t>https://www.airbnb.com/rooms/44449372</t>
  </si>
  <si>
    <t>https://www.airbnb.com/rooms/7787180</t>
  </si>
  <si>
    <t>https://www.airbnb.com/rooms/707541866322932962</t>
  </si>
  <si>
    <t>https://www.airbnb.com/rooms/929780903638847514</t>
  </si>
  <si>
    <t>Northwest</t>
  </si>
  <si>
    <t>https://www.airbnb.com/rooms/654714565982750733</t>
  </si>
  <si>
    <t>https://www.airbnb.com/rooms/736956827837504630</t>
  </si>
  <si>
    <t>https://www.airbnb.com/rooms/666977623311212376</t>
  </si>
  <si>
    <t>https://www.airbnb.com/rooms/37774796</t>
  </si>
  <si>
    <t>https://www.airbnb.com/rooms/7602806</t>
  </si>
  <si>
    <t>https://www.airbnb.com/rooms/1239936440649751248</t>
  </si>
  <si>
    <t>https://www.airbnb.com/rooms/47304039</t>
  </si>
  <si>
    <t>https://www.airbnb.com/rooms/47358234</t>
  </si>
  <si>
    <t>https://www.airbnb.com/rooms/1121916681406266272</t>
  </si>
  <si>
    <t>https://www.airbnb.com/rooms/50486571</t>
  </si>
  <si>
    <t>https://www.airbnb.com/rooms/54399369</t>
  </si>
  <si>
    <t>https://www.airbnb.com/rooms/54399356</t>
  </si>
  <si>
    <t>https://www.airbnb.com/rooms/1003174</t>
  </si>
  <si>
    <t>https://www.airbnb.com/rooms/800180911469727970</t>
  </si>
  <si>
    <t>https://www.airbnb.com/rooms/1161022035251616428</t>
  </si>
  <si>
    <t>https://www.airbnb.com/rooms/32188123</t>
  </si>
  <si>
    <t>https://www.airbnb.com/rooms/892027283732724777</t>
  </si>
  <si>
    <t>https://www.airbnb.com/rooms/36562354</t>
  </si>
  <si>
    <t>https://www.airbnb.com/rooms/45380973</t>
  </si>
  <si>
    <t>https://www.airbnb.com/rooms/1067600772350837265</t>
  </si>
  <si>
    <t>https://www.airbnb.com/rooms/736946434480553140</t>
  </si>
  <si>
    <t>https://www.airbnb.com/rooms/13546552</t>
  </si>
  <si>
    <t>https://www.airbnb.com/rooms/1176371169318462366</t>
  </si>
  <si>
    <t>https://www.airbnb.com/rooms/43277453</t>
  </si>
  <si>
    <t>https://www.airbnb.com/rooms/1341875841386230679</t>
  </si>
  <si>
    <t>https://www.airbnb.com/rooms/32934483</t>
  </si>
  <si>
    <t>https://www.airbnb.com/rooms/892027418003612536</t>
  </si>
  <si>
    <t>https://www.airbnb.com/rooms/1397500298001099327</t>
  </si>
  <si>
    <t>https://www.airbnb.com/rooms/1113283320642385956</t>
  </si>
  <si>
    <t>https://www.airbnb.com/rooms/1400708405679700169</t>
  </si>
  <si>
    <t>https://www.airbnb.com/rooms/1098898284497974865</t>
  </si>
  <si>
    <t>https://www.airbnb.com/rooms/670569637405999414</t>
  </si>
  <si>
    <t>https://www.airbnb.com/rooms/54398528</t>
  </si>
  <si>
    <t>https://www.airbnb.com/rooms/836257073824760598</t>
  </si>
  <si>
    <t>https://www.airbnb.com/rooms/589970092582215104</t>
  </si>
  <si>
    <t>https://www.airbnb.com/rooms/8226323</t>
  </si>
  <si>
    <t>https://www.airbnb.com/rooms/1366276218039222078</t>
  </si>
  <si>
    <t>https://www.airbnb.com/rooms/53193881</t>
  </si>
  <si>
    <t>https://www.airbnb.com/rooms/1163376879945346906</t>
  </si>
  <si>
    <t>https://www.airbnb.com/rooms/35226507</t>
  </si>
  <si>
    <t>https://www.airbnb.com/rooms/1402596926987497250</t>
  </si>
  <si>
    <t>https://www.airbnb.com/rooms/17190346</t>
  </si>
  <si>
    <t>https://www.airbnb.com/rooms/34823470</t>
  </si>
  <si>
    <t>https://www.airbnb.com/rooms/24158757</t>
  </si>
  <si>
    <t>https://www.airbnb.com/rooms/54399388</t>
  </si>
  <si>
    <t>https://www.airbnb.com/rooms/4112462</t>
  </si>
  <si>
    <t>West University Heights</t>
  </si>
  <si>
    <t>https://www.airbnb.com/rooms/621926321337663816</t>
  </si>
  <si>
    <t>https://www.airbnb.com/rooms/49697906</t>
  </si>
  <si>
    <t>https://www.airbnb.com/rooms/48350984</t>
  </si>
  <si>
    <t>Southcrest</t>
  </si>
  <si>
    <t>https://www.airbnb.com/rooms/52521127</t>
  </si>
  <si>
    <t>Bay Ho</t>
  </si>
  <si>
    <t>https://www.airbnb.com/rooms/575901777041235441</t>
  </si>
  <si>
    <t>https://www.airbnb.com/rooms/1408052717116162853</t>
  </si>
  <si>
    <t>https://www.airbnb.com/rooms/1157373451378716957</t>
  </si>
  <si>
    <t>https://www.airbnb.com/rooms/1168420880863677799</t>
  </si>
  <si>
    <t>https://www.airbnb.com/rooms/957975699001699482</t>
  </si>
  <si>
    <t>https://www.airbnb.com/rooms/1157473054790399287</t>
  </si>
  <si>
    <t>https://www.airbnb.com/rooms/19831557</t>
  </si>
  <si>
    <t>https://www.airbnb.com/rooms/622465795882524939</t>
  </si>
  <si>
    <t>https://www.airbnb.com/rooms/1427044347094995646</t>
  </si>
  <si>
    <t>https://www.airbnb.com/rooms/1438629194487673173</t>
  </si>
  <si>
    <t>https://www.airbnb.com/rooms/847164706482090564</t>
  </si>
  <si>
    <t>https://www.airbnb.com/rooms/1157482042958963089</t>
  </si>
  <si>
    <t>https://www.airbnb.com/rooms/1433498033542029727</t>
  </si>
  <si>
    <t>Ocean Beach</t>
  </si>
  <si>
    <t>https://www.airbnb.com/rooms/1438604350664009786</t>
  </si>
  <si>
    <t>https://www.airbnb.com/rooms/19721149</t>
  </si>
  <si>
    <t>Sky Line</t>
  </si>
  <si>
    <t>https://www.airbnb.com/rooms/1313843554082885239</t>
  </si>
  <si>
    <t>https://www.airbnb.com/rooms/23102868</t>
  </si>
  <si>
    <t>https://www.airbnb.com/rooms/643581243895857920</t>
  </si>
  <si>
    <t>https://www.airbnb.com/rooms/41539630</t>
  </si>
  <si>
    <t>https://www.airbnb.com/rooms/31696356</t>
  </si>
  <si>
    <t>https://www.airbnb.com/rooms/5862910</t>
  </si>
  <si>
    <t>https://www.airbnb.com/rooms/1142334555122854408</t>
  </si>
  <si>
    <t>Sorrento Valley</t>
  </si>
  <si>
    <t>https://www.airbnb.com/rooms/1250041956530447768</t>
  </si>
  <si>
    <t>https://www.airbnb.com/rooms/622456707968199540</t>
  </si>
  <si>
    <t>https://www.airbnb.com/rooms/1209667295456340039</t>
  </si>
  <si>
    <t>Lincoln Park</t>
  </si>
  <si>
    <t>https://www.airbnb.com/rooms/757289443458701444</t>
  </si>
  <si>
    <t>https://www.airbnb.com/rooms/27632106</t>
  </si>
  <si>
    <t>https://www.airbnb.com/rooms/998937473406561249</t>
  </si>
  <si>
    <t>https://www.airbnb.com/rooms/8211246</t>
  </si>
  <si>
    <t>https://www.airbnb.com/rooms/1058034085911355201</t>
  </si>
  <si>
    <t>https://www.airbnb.com/rooms/1085186954524801306</t>
  </si>
  <si>
    <t>https://www.airbnb.com/rooms/924798714383707749</t>
  </si>
  <si>
    <t>https://www.airbnb.com/rooms/2122584</t>
  </si>
  <si>
    <t>https://www.airbnb.com/rooms/27990978</t>
  </si>
  <si>
    <t>https://www.airbnb.com/rooms/36245950</t>
  </si>
  <si>
    <t>https://www.airbnb.com/rooms/22106062</t>
  </si>
  <si>
    <t>https://www.airbnb.com/rooms/1409838193339067618</t>
  </si>
  <si>
    <t>https://www.airbnb.com/rooms/875556410501834896</t>
  </si>
  <si>
    <t>https://www.airbnb.com/rooms/602907476923179816</t>
  </si>
  <si>
    <t>University City</t>
  </si>
  <si>
    <t>https://www.airbnb.com/rooms/22387437</t>
  </si>
  <si>
    <t>https://www.airbnb.com/rooms/1282114116798018734</t>
  </si>
  <si>
    <t>https://www.airbnb.com/rooms/1440771694716005847</t>
  </si>
  <si>
    <t>https://www.airbnb.com/rooms/20485276</t>
  </si>
  <si>
    <t>https://www.airbnb.com/rooms/1444983081125189449</t>
  </si>
  <si>
    <t>https://www.airbnb.com/rooms/1299287658554490581</t>
  </si>
  <si>
    <t>https://www.airbnb.com/rooms/658197566059039310</t>
  </si>
  <si>
    <t>City Heights East</t>
  </si>
  <si>
    <t>https://www.airbnb.com/rooms/54169062</t>
  </si>
  <si>
    <t>https://www.airbnb.com/rooms/32186881</t>
  </si>
  <si>
    <t>https://www.airbnb.com/rooms/47806687</t>
  </si>
  <si>
    <t>https://www.airbnb.com/rooms/24783322</t>
  </si>
  <si>
    <t>https://www.airbnb.com/rooms/974178053522517452</t>
  </si>
  <si>
    <t>https://www.airbnb.com/rooms/51734363</t>
  </si>
  <si>
    <t>https://www.airbnb.com/rooms/5402083</t>
  </si>
  <si>
    <t>https://www.airbnb.com/rooms/41292213</t>
  </si>
  <si>
    <t>https://www.airbnb.com/rooms/966149721523320908</t>
  </si>
  <si>
    <t>https://www.airbnb.com/rooms/1045931777963083931</t>
  </si>
  <si>
    <t>https://www.airbnb.com/rooms/48060190</t>
  </si>
  <si>
    <t>https://www.airbnb.com/rooms/32547755</t>
  </si>
  <si>
    <t>La Jolla Village</t>
  </si>
  <si>
    <t>https://www.airbnb.com/rooms/32933836</t>
  </si>
  <si>
    <t>https://www.airbnb.com/rooms/4625371</t>
  </si>
  <si>
    <t>https://www.airbnb.com/rooms/33716200</t>
  </si>
  <si>
    <t>https://www.airbnb.com/rooms/1227055001937226114</t>
  </si>
  <si>
    <t>Sunbow</t>
  </si>
  <si>
    <t>https://www.airbnb.com/rooms/1086936671800237806</t>
  </si>
  <si>
    <t>https://www.airbnb.com/rooms/1086942185457702615</t>
  </si>
  <si>
    <t>https://www.airbnb.com/rooms/6766186</t>
  </si>
  <si>
    <t>https://www.airbnb.com/rooms/698627692152170585</t>
  </si>
  <si>
    <t>https://www.airbnb.com/rooms/16799795</t>
  </si>
  <si>
    <t>https://www.airbnb.com/rooms/1453556463751653513</t>
  </si>
  <si>
    <t>https://www.airbnb.com/rooms/813137318528784191</t>
  </si>
  <si>
    <t>https://www.airbnb.com/rooms/1505265811997711070</t>
  </si>
  <si>
    <t>https://www.airbnb.com/rooms/1499531053336282002</t>
  </si>
  <si>
    <t>https://www.airbnb.com/rooms/1426913750704303049</t>
  </si>
  <si>
    <t>https://www.airbnb.com/rooms/1098645691498190183</t>
  </si>
  <si>
    <t>https://www.airbnb.com/rooms/1394600984725410964</t>
  </si>
  <si>
    <t>https://www.airbnb.com/rooms/1269494216413152253</t>
  </si>
  <si>
    <t>Rancho Del Rey</t>
  </si>
  <si>
    <t>https://www.airbnb.com/rooms/7731551</t>
  </si>
  <si>
    <t>https://www.airbnb.com/rooms/1443129998882366564</t>
  </si>
  <si>
    <t>https://www.airbnb.com/rooms/43441203</t>
  </si>
  <si>
    <t>https://www.airbnb.com/rooms/1059526460300710760</t>
  </si>
  <si>
    <t>https://www.airbnb.com/rooms/45327808</t>
  </si>
  <si>
    <t>https://www.airbnb.com/rooms/35236207</t>
  </si>
  <si>
    <t>https://www.airbnb.com/rooms/45362870</t>
  </si>
  <si>
    <t>https://www.airbnb.com/rooms/929386790304651769</t>
  </si>
  <si>
    <t>https://www.airbnb.com/rooms/1283723449055497217</t>
  </si>
  <si>
    <t>https://www.airbnb.com/rooms/18825517</t>
  </si>
  <si>
    <t>https://www.airbnb.com/rooms/1479412507448995000</t>
  </si>
  <si>
    <t>https://www.airbnb.com/rooms/871845362773483345</t>
  </si>
  <si>
    <t>https://www.airbnb.com/rooms/21516194</t>
  </si>
  <si>
    <t>https://www.airbnb.com/rooms/810931</t>
  </si>
  <si>
    <t>https://www.airbnb.com/rooms/932209742187108060</t>
  </si>
  <si>
    <t>https://www.airbnb.com/rooms/41592567</t>
  </si>
  <si>
    <t>https://www.airbnb.com/rooms/44263742</t>
  </si>
  <si>
    <t>https://www.airbnb.com/rooms/1261915460806741008</t>
  </si>
  <si>
    <t>https://www.airbnb.com/rooms/29876356</t>
  </si>
  <si>
    <t>https://www.airbnb.com/rooms/1491713039732709656</t>
  </si>
  <si>
    <t>Tierrasanta</t>
  </si>
  <si>
    <t>https://www.airbnb.com/rooms/8066548</t>
  </si>
  <si>
    <t>https://www.airbnb.com/rooms/990474820040862633</t>
  </si>
  <si>
    <t>https://www.airbnb.com/rooms/756726806397510915</t>
  </si>
  <si>
    <t>https://www.airbnb.com/rooms/43727430</t>
  </si>
  <si>
    <t>https://www.airbnb.com/rooms/1497900249832102515</t>
  </si>
  <si>
    <t>https://www.airbnb.com/rooms/1232245507229225244</t>
  </si>
  <si>
    <t>https://www.airbnb.com/rooms/903541355142435030</t>
  </si>
  <si>
    <t>https://www.airbnb.com/rooms/44671254</t>
  </si>
  <si>
    <t>https://www.airbnb.com/rooms/11895249</t>
  </si>
  <si>
    <t>https://www.airbnb.com/rooms/1277200094652790792</t>
  </si>
  <si>
    <t>https://www.airbnb.com/rooms/1490809940310088354</t>
  </si>
  <si>
    <t>https://www.airbnb.com/rooms/1330024875799645550</t>
  </si>
  <si>
    <t>https://www.airbnb.com/rooms/812660860077583034</t>
  </si>
  <si>
    <t>https://www.airbnb.com/rooms/21637159</t>
  </si>
  <si>
    <t>https://www.airbnb.com/rooms/1267429707801520774</t>
  </si>
  <si>
    <t>https://www.airbnb.com/rooms/1274465801937510756</t>
  </si>
  <si>
    <t>https://www.airbnb.com/rooms/27237045</t>
  </si>
  <si>
    <t>https://www.airbnb.com/rooms/31364333</t>
  </si>
  <si>
    <t>https://www.airbnb.com/rooms/1390080978008105181</t>
  </si>
  <si>
    <t>https://www.airbnb.com/rooms/622451855196969626</t>
  </si>
  <si>
    <t>https://www.airbnb.com/rooms/1390085310342783339</t>
  </si>
  <si>
    <t>https://www.airbnb.com/rooms/987705416280401080</t>
  </si>
  <si>
    <t>https://www.airbnb.com/rooms/35969863</t>
  </si>
  <si>
    <t>https://www.airbnb.com/rooms/16463818</t>
  </si>
  <si>
    <t>https://www.airbnb.com/rooms/698627071613806331</t>
  </si>
  <si>
    <t>https://www.airbnb.com/rooms/1307694507097568166</t>
  </si>
  <si>
    <t>https://www.airbnb.com/rooms/960613767965268272</t>
  </si>
  <si>
    <t>https://www.airbnb.com/rooms/698625444737837206</t>
  </si>
  <si>
    <t>https://www.airbnb.com/rooms/903524566979113199</t>
  </si>
  <si>
    <t>https://www.airbnb.com/rooms/14110601</t>
  </si>
  <si>
    <t>https://www.airbnb.com/rooms/913346255387794841</t>
  </si>
  <si>
    <t>https://www.airbnb.com/rooms/1110146348218504532</t>
  </si>
  <si>
    <t>https://www.airbnb.com/rooms/7239937</t>
  </si>
  <si>
    <t>https://www.airbnb.com/rooms/1127756207741264685</t>
  </si>
  <si>
    <t>https://www.airbnb.com/rooms/31985366</t>
  </si>
  <si>
    <t>https://www.airbnb.com/rooms/36858222</t>
  </si>
  <si>
    <t>https://www.airbnb.com/rooms/1247897581908466614</t>
  </si>
  <si>
    <t>https://www.airbnb.com/rooms/1410502737720048076</t>
  </si>
  <si>
    <t>https://www.airbnb.com/rooms/9986657</t>
  </si>
  <si>
    <t>https://www.airbnb.com/rooms/1145472436670836542</t>
  </si>
  <si>
    <t>https://www.airbnb.com/rooms/1229495172511578696</t>
  </si>
  <si>
    <t>https://www.airbnb.com/rooms/10280524</t>
  </si>
  <si>
    <t>https://www.airbnb.com/rooms/666789903244518926</t>
  </si>
  <si>
    <t>Webster</t>
  </si>
  <si>
    <t>https://www.airbnb.com/rooms/1165464326264800773</t>
  </si>
  <si>
    <t>https://www.airbnb.com/rooms/1392133443564795868</t>
  </si>
  <si>
    <t>https://www.airbnb.com/rooms/19153875</t>
  </si>
  <si>
    <t>https://www.airbnb.com/rooms/789934078291970974</t>
  </si>
  <si>
    <t>https://www.airbnb.com/rooms/1281521495286603702</t>
  </si>
  <si>
    <t>https://www.airbnb.com/rooms/622435152915501259</t>
  </si>
  <si>
    <t>https://www.airbnb.com/rooms/29795804</t>
  </si>
  <si>
    <t>https://www.airbnb.com/rooms/1164876271162601619</t>
  </si>
  <si>
    <t>https://www.airbnb.com/rooms/8312088</t>
  </si>
  <si>
    <t>https://www.airbnb.com/rooms/3153596</t>
  </si>
  <si>
    <t>https://www.airbnb.com/rooms/53953269</t>
  </si>
  <si>
    <t>https://www.airbnb.com/rooms/30010693</t>
  </si>
  <si>
    <t>https://www.airbnb.com/rooms/14725872</t>
  </si>
  <si>
    <t>https://www.airbnb.com/rooms/1458905399135738898</t>
  </si>
  <si>
    <t>https://www.airbnb.com/rooms/1136354453256565087</t>
  </si>
  <si>
    <t>https://www.airbnb.com/rooms/35314398</t>
  </si>
  <si>
    <t>https://www.airbnb.com/rooms/756742000554293536</t>
  </si>
  <si>
    <t>https://www.airbnb.com/rooms/43739011</t>
  </si>
  <si>
    <t>https://www.airbnb.com/rooms/2242507</t>
  </si>
  <si>
    <t>https://www.airbnb.com/rooms/1508350418100424375</t>
  </si>
  <si>
    <t>https://www.airbnb.com/rooms/1163240243724825404</t>
  </si>
  <si>
    <t>https://www.airbnb.com/rooms/3138510</t>
  </si>
  <si>
    <t>https://www.airbnb.com/rooms/1249764452797229956</t>
  </si>
  <si>
    <t>Lynwood Hills</t>
  </si>
  <si>
    <t>https://www.airbnb.com/rooms/1048853715450465376</t>
  </si>
  <si>
    <t>https://www.airbnb.com/rooms/698618407857893787</t>
  </si>
  <si>
    <t>https://www.airbnb.com/rooms/1414119203142287500</t>
  </si>
  <si>
    <t>South Park</t>
  </si>
  <si>
    <t>https://www.airbnb.com/rooms/1411184276412163895</t>
  </si>
  <si>
    <t>https://www.airbnb.com/rooms/1411161030506188957</t>
  </si>
  <si>
    <t>https://www.airbnb.com/rooms/1487752665873873199</t>
  </si>
  <si>
    <t>https://www.airbnb.com/rooms/1436478586704900707</t>
  </si>
  <si>
    <t>https://www.airbnb.com/rooms/1367852555985719399</t>
  </si>
  <si>
    <t>https://www.airbnb.com/rooms/8829170</t>
  </si>
  <si>
    <t>https://www.airbnb.com/rooms/6693808</t>
  </si>
  <si>
    <t>https://www.airbnb.com/rooms/48385192</t>
  </si>
  <si>
    <t>https://www.airbnb.com/rooms/1344474686863645799</t>
  </si>
  <si>
    <t>Mountain View</t>
  </si>
  <si>
    <t>https://www.airbnb.com/rooms/662515423969889624</t>
  </si>
  <si>
    <t>https://www.airbnb.com/rooms/41538695</t>
  </si>
  <si>
    <t>https://www.airbnb.com/rooms/997955926669287417</t>
  </si>
  <si>
    <t>City Heights West</t>
  </si>
  <si>
    <t>https://www.airbnb.com/rooms/658537455203307101</t>
  </si>
  <si>
    <t>https://www.airbnb.com/rooms/656799292120395013</t>
  </si>
  <si>
    <t>https://www.airbnb.com/rooms/936500199386262647</t>
  </si>
  <si>
    <t>https://www.airbnb.com/rooms/36103280</t>
  </si>
  <si>
    <t>https://www.airbnb.com/rooms/30119008</t>
  </si>
  <si>
    <t>https://www.airbnb.com/rooms/1294456650168450256</t>
  </si>
  <si>
    <t>Mount Hope</t>
  </si>
  <si>
    <t>https://www.airbnb.com/rooms/1024332961275959534</t>
  </si>
  <si>
    <t>https://www.airbnb.com/rooms/31056572</t>
  </si>
  <si>
    <t>https://www.airbnb.com/rooms/602940434822632771</t>
  </si>
  <si>
    <t>https://www.airbnb.com/rooms/797168583915509134</t>
  </si>
  <si>
    <t>https://www.airbnb.com/rooms/565932024464880288</t>
  </si>
  <si>
    <t>https://www.airbnb.com/rooms/930340393542917553</t>
  </si>
  <si>
    <t>Bird Land</t>
  </si>
  <si>
    <t>https://www.airbnb.com/rooms/1212313594000943604</t>
  </si>
  <si>
    <t>https://www.airbnb.com/rooms/650801734049825129</t>
  </si>
  <si>
    <t>https://www.airbnb.com/rooms/53050770</t>
  </si>
  <si>
    <t>https://www.airbnb.com/rooms/999270749959212698</t>
  </si>
  <si>
    <t>https://www.airbnb.com/rooms/840046242829864666</t>
  </si>
  <si>
    <t>https://www.airbnb.com/rooms/43102627</t>
  </si>
  <si>
    <t>https://www.airbnb.com/rooms/872003225935879308</t>
  </si>
  <si>
    <t>https://www.airbnb.com/rooms/46473767</t>
  </si>
  <si>
    <t>https://www.airbnb.com/rooms/19194937</t>
  </si>
  <si>
    <t>https://www.airbnb.com/rooms/1164809841845841338</t>
  </si>
  <si>
    <t>https://www.airbnb.com/rooms/622448447797707090</t>
  </si>
  <si>
    <t>https://www.airbnb.com/rooms/13268917</t>
  </si>
  <si>
    <t>https://www.airbnb.com/rooms/1011564788055151434</t>
  </si>
  <si>
    <t>https://www.airbnb.com/rooms/1026977258472008754</t>
  </si>
  <si>
    <t>https://www.airbnb.com/rooms/1027019678991876779</t>
  </si>
  <si>
    <t>https://www.airbnb.com/rooms/1487993842253637272</t>
  </si>
  <si>
    <t>https://www.airbnb.com/rooms/7225602</t>
  </si>
  <si>
    <t>https://www.airbnb.com/rooms/1015083956830435242</t>
  </si>
  <si>
    <t>https://www.airbnb.com/rooms/27091191</t>
  </si>
  <si>
    <t>https://www.airbnb.com/rooms/1172141510690810105</t>
  </si>
  <si>
    <t>https://www.airbnb.com/rooms/24034884</t>
  </si>
  <si>
    <t>https://www.airbnb.com/rooms/1169781021716620746</t>
  </si>
  <si>
    <t>https://www.airbnb.com/rooms/43372837</t>
  </si>
  <si>
    <t>https://www.airbnb.com/rooms/3738133</t>
  </si>
  <si>
    <t>https://www.airbnb.com/rooms/705164888929366290</t>
  </si>
  <si>
    <t>https://www.airbnb.com/rooms/16959895</t>
  </si>
  <si>
    <t>https://www.airbnb.com/rooms/1147974711389712211</t>
  </si>
  <si>
    <t>https://www.airbnb.com/rooms/1505439938956675307</t>
  </si>
  <si>
    <t>https://www.airbnb.com/rooms/19547750</t>
  </si>
  <si>
    <t>https://www.airbnb.com/rooms/752213497980303721</t>
  </si>
  <si>
    <t>https://www.airbnb.com/rooms/1038142239373061948</t>
  </si>
  <si>
    <t>https://www.airbnb.com/rooms/53441903</t>
  </si>
  <si>
    <t>https://www.airbnb.com/rooms/1150382211409076825</t>
  </si>
  <si>
    <t>https://www.airbnb.com/rooms/45089273</t>
  </si>
  <si>
    <t>https://www.airbnb.com/rooms/48903997</t>
  </si>
  <si>
    <t>https://www.airbnb.com/rooms/1076790388227012649</t>
  </si>
  <si>
    <t>https://www.airbnb.com/rooms/1070129218031275413</t>
  </si>
  <si>
    <t>https://www.airbnb.com/rooms/52189367</t>
  </si>
  <si>
    <t>https://www.airbnb.com/rooms/622468529787837302</t>
  </si>
  <si>
    <t>https://www.airbnb.com/rooms/980818478816118619</t>
  </si>
  <si>
    <t>https://www.airbnb.com/rooms/7817735</t>
  </si>
  <si>
    <t>https://www.airbnb.com/rooms/1470529761883567915</t>
  </si>
  <si>
    <t>https://www.airbnb.com/rooms/980688083663867845</t>
  </si>
  <si>
    <t>Roseville</t>
  </si>
  <si>
    <t>https://www.airbnb.com/rooms/18008300</t>
  </si>
  <si>
    <t>https://www.airbnb.com/rooms/1337180500633890227</t>
  </si>
  <si>
    <t>https://www.airbnb.com/rooms/30588690</t>
  </si>
  <si>
    <t>https://www.airbnb.com/rooms/1282102808000608031</t>
  </si>
  <si>
    <t>https://www.airbnb.com/rooms/1276206729648610880</t>
  </si>
  <si>
    <t>https://www.airbnb.com/rooms/32966226</t>
  </si>
  <si>
    <t>https://www.airbnb.com/rooms/1219565673760653216</t>
  </si>
  <si>
    <t>https://www.airbnb.com/rooms/52245430</t>
  </si>
  <si>
    <t>https://www.airbnb.com/rooms/1177020897036587301</t>
  </si>
  <si>
    <t>https://www.airbnb.com/rooms/1166307377442323732</t>
  </si>
  <si>
    <t>https://www.airbnb.com/rooms/41716105</t>
  </si>
  <si>
    <t>Yosemite Dr</t>
  </si>
  <si>
    <t>https://www.airbnb.com/rooms/41940259</t>
  </si>
  <si>
    <t>https://www.airbnb.com/rooms/41941077</t>
  </si>
  <si>
    <t>https://www.airbnb.com/rooms/1025268574153091298</t>
  </si>
  <si>
    <t>https://www.airbnb.com/rooms/1282713751087816560</t>
  </si>
  <si>
    <t>https://www.airbnb.com/rooms/1350716106388143338</t>
  </si>
  <si>
    <t>https://www.airbnb.com/rooms/1177557462907168252</t>
  </si>
  <si>
    <t>https://www.airbnb.com/rooms/1164431296981277741</t>
  </si>
  <si>
    <t>https://www.airbnb.com/rooms/10455082</t>
  </si>
  <si>
    <t>https://www.airbnb.com/rooms/34021381</t>
  </si>
  <si>
    <t>https://www.airbnb.com/rooms/929972681487793164</t>
  </si>
  <si>
    <t>https://www.airbnb.com/rooms/964904555326610519</t>
  </si>
  <si>
    <t>https://www.airbnb.com/rooms/50117286</t>
  </si>
  <si>
    <t>https://www.airbnb.com/rooms/10920719</t>
  </si>
  <si>
    <t>https://www.airbnb.com/rooms/1060406207458072555</t>
  </si>
  <si>
    <t>https://www.airbnb.com/rooms/6183596</t>
  </si>
  <si>
    <t>https://www.airbnb.com/rooms/1233599135144042341</t>
  </si>
  <si>
    <t>https://www.airbnb.com/rooms/1095271161624390171</t>
  </si>
  <si>
    <t>https://www.airbnb.com/rooms/11244715</t>
  </si>
  <si>
    <t>https://www.airbnb.com/rooms/17571670</t>
  </si>
  <si>
    <t>https://www.airbnb.com/rooms/45942034</t>
  </si>
  <si>
    <t>Alta Vista</t>
  </si>
  <si>
    <t>https://www.airbnb.com/rooms/1385192592170985211</t>
  </si>
  <si>
    <t>https://www.airbnb.com/rooms/48527821</t>
  </si>
  <si>
    <t>https://www.airbnb.com/rooms/385760</t>
  </si>
  <si>
    <t>https://www.airbnb.com/rooms/40202533</t>
  </si>
  <si>
    <t>https://www.airbnb.com/rooms/912013218836012104</t>
  </si>
  <si>
    <t>https://www.airbnb.com/rooms/816356900547820600</t>
  </si>
  <si>
    <t>https://www.airbnb.com/rooms/17464165</t>
  </si>
  <si>
    <t>https://www.airbnb.com/rooms/36590067</t>
  </si>
  <si>
    <t>https://www.airbnb.com/rooms/18358569</t>
  </si>
  <si>
    <t>https://www.airbnb.com/rooms/934281935769828612</t>
  </si>
  <si>
    <t>https://www.airbnb.com/rooms/7871918</t>
  </si>
  <si>
    <t>https://www.airbnb.com/rooms/821982020087687834</t>
  </si>
  <si>
    <t>https://www.airbnb.com/rooms/1473231277490366116</t>
  </si>
  <si>
    <t>https://www.airbnb.com/rooms/34420740</t>
  </si>
  <si>
    <t>https://www.airbnb.com/rooms/602033199122218339</t>
  </si>
  <si>
    <t>https://www.airbnb.com/rooms/24669593</t>
  </si>
  <si>
    <t>https://www.airbnb.com/rooms/4219104</t>
  </si>
  <si>
    <t>https://www.airbnb.com/rooms/51728041</t>
  </si>
  <si>
    <t>https://www.airbnb.com/rooms/1476844802805372455</t>
  </si>
  <si>
    <t>Scripps Ranch</t>
  </si>
  <si>
    <t>https://www.airbnb.com/rooms/640493644957983892</t>
  </si>
  <si>
    <t>https://www.airbnb.com/rooms/645059747548463166</t>
  </si>
  <si>
    <t>https://www.airbnb.com/rooms/45900791</t>
  </si>
  <si>
    <t>https://www.airbnb.com/rooms/957885082231710919</t>
  </si>
  <si>
    <t>https://www.airbnb.com/rooms/1366248214153196918</t>
  </si>
  <si>
    <t>https://www.airbnb.com/rooms/1364649686301202850</t>
  </si>
  <si>
    <t>https://www.airbnb.com/rooms/936899535130390017</t>
  </si>
  <si>
    <t>https://www.airbnb.com/rooms/47783516</t>
  </si>
  <si>
    <t>https://www.airbnb.com/rooms/24015708</t>
  </si>
  <si>
    <t>https://www.airbnb.com/rooms/52642516</t>
  </si>
  <si>
    <t>https://www.airbnb.com/rooms/48873732</t>
  </si>
  <si>
    <t>https://www.airbnb.com/rooms/20196101</t>
  </si>
  <si>
    <t>https://www.airbnb.com/rooms/7227572</t>
  </si>
  <si>
    <t>https://www.airbnb.com/rooms/38610837</t>
  </si>
  <si>
    <t>https://www.airbnb.com/rooms/12954157</t>
  </si>
  <si>
    <t>https://www.airbnb.com/rooms/1193741270568950529</t>
  </si>
  <si>
    <t>https://www.airbnb.com/rooms/1364014543747809218</t>
  </si>
  <si>
    <t>https://www.airbnb.com/rooms/956441253127722887</t>
  </si>
  <si>
    <t>https://www.airbnb.com/rooms/1356569939315958800</t>
  </si>
  <si>
    <t>https://www.airbnb.com/rooms/887573</t>
  </si>
  <si>
    <t>https://www.airbnb.com/rooms/7620506</t>
  </si>
  <si>
    <t>https://www.airbnb.com/rooms/641227636563845135</t>
  </si>
  <si>
    <t>https://www.airbnb.com/rooms/971690142002061307</t>
  </si>
  <si>
    <t>https://www.airbnb.com/rooms/805969834225349214</t>
  </si>
  <si>
    <t>https://www.airbnb.com/rooms/868233425623548606</t>
  </si>
  <si>
    <t>https://www.airbnb.com/rooms/987650284177038880</t>
  </si>
  <si>
    <t>https://www.airbnb.com/rooms/1142149579654293168</t>
  </si>
  <si>
    <t>https://www.airbnb.com/rooms/1374944285472373029</t>
  </si>
  <si>
    <t>https://www.airbnb.com/rooms/21240467</t>
  </si>
  <si>
    <t>https://www.airbnb.com/rooms/11090048</t>
  </si>
  <si>
    <t>https://www.airbnb.com/rooms/1358915482244964030</t>
  </si>
  <si>
    <t>https://www.airbnb.com/rooms/749360072720320663</t>
  </si>
  <si>
    <t>https://www.airbnb.com/rooms/19844507</t>
  </si>
  <si>
    <t>https://www.airbnb.com/rooms/882431808674756603</t>
  </si>
  <si>
    <t>https://www.airbnb.com/rooms/1014800090527744723</t>
  </si>
  <si>
    <t>https://www.airbnb.com/rooms/1260972131124426679</t>
  </si>
  <si>
    <t>https://www.airbnb.com/rooms/40382106</t>
  </si>
  <si>
    <t>https://www.airbnb.com/rooms/1413485985962369717</t>
  </si>
  <si>
    <t>https://www.airbnb.com/rooms/1039035274580983189</t>
  </si>
  <si>
    <t>https://www.airbnb.com/rooms/41720799</t>
  </si>
  <si>
    <t>Bonita Long Canyon</t>
  </si>
  <si>
    <t>https://www.airbnb.com/rooms/1161856070726226908</t>
  </si>
  <si>
    <t>https://www.airbnb.com/rooms/1150653251349124264</t>
  </si>
  <si>
    <t>https://www.airbnb.com/rooms/31740935</t>
  </si>
  <si>
    <t>East Lake</t>
  </si>
  <si>
    <t>https://www.airbnb.com/rooms/13079594</t>
  </si>
  <si>
    <t>https://www.airbnb.com/rooms/26032662</t>
  </si>
  <si>
    <t>https://www.airbnb.com/rooms/1071068574444676620</t>
  </si>
  <si>
    <t>https://www.airbnb.com/rooms/1438332</t>
  </si>
  <si>
    <t>https://www.airbnb.com/rooms/1133475268952879105</t>
  </si>
  <si>
    <t>https://www.airbnb.com/rooms/1095016255393255087</t>
  </si>
  <si>
    <t>https://www.airbnb.com/rooms/37783547</t>
  </si>
  <si>
    <t>https://www.airbnb.com/rooms/945375465457507090</t>
  </si>
  <si>
    <t>https://www.airbnb.com/rooms/1417622552807580343</t>
  </si>
  <si>
    <t>https://www.airbnb.com/rooms/747783081954738138</t>
  </si>
  <si>
    <t>https://www.airbnb.com/rooms/1371344911967260856</t>
  </si>
  <si>
    <t>https://www.airbnb.com/rooms/3413201</t>
  </si>
  <si>
    <t>https://www.airbnb.com/rooms/1140868640977168370</t>
  </si>
  <si>
    <t>https://www.airbnb.com/rooms/785712161132210881</t>
  </si>
  <si>
    <t>https://www.airbnb.com/rooms/1429803859184719713</t>
  </si>
  <si>
    <t>https://www.airbnb.com/rooms/34703436</t>
  </si>
  <si>
    <t>https://www.airbnb.com/rooms/1762939</t>
  </si>
  <si>
    <t>https://www.airbnb.com/rooms/1419168766391864852</t>
  </si>
  <si>
    <t>https://www.airbnb.com/rooms/994317354840381403</t>
  </si>
  <si>
    <t>https://www.airbnb.com/rooms/573855524664563486</t>
  </si>
  <si>
    <t>https://www.airbnb.com/rooms/994341055351896896</t>
  </si>
  <si>
    <t>https://www.airbnb.com/rooms/964720061531103150</t>
  </si>
  <si>
    <t>https://www.airbnb.com/rooms/32027095</t>
  </si>
  <si>
    <t>https://www.airbnb.com/rooms/811709851702065269</t>
  </si>
  <si>
    <t>https://www.airbnb.com/rooms/1433653469479739370</t>
  </si>
  <si>
    <t>https://www.airbnb.com/rooms/1065511930390758754</t>
  </si>
  <si>
    <t>https://www.airbnb.com/rooms/29690203</t>
  </si>
  <si>
    <t>https://www.airbnb.com/rooms/10859332</t>
  </si>
  <si>
    <t>https://www.airbnb.com/rooms/13639112</t>
  </si>
  <si>
    <t>https://www.airbnb.com/rooms/1240694186807313344</t>
  </si>
  <si>
    <t>https://www.airbnb.com/rooms/38942345</t>
  </si>
  <si>
    <t>https://www.airbnb.com/rooms/41432251</t>
  </si>
  <si>
    <t>https://www.airbnb.com/rooms/16518753</t>
  </si>
  <si>
    <t>https://www.airbnb.com/rooms/570220546730388913</t>
  </si>
  <si>
    <t>https://www.airbnb.com/rooms/1144539727484996127</t>
  </si>
  <si>
    <t>https://www.airbnb.com/rooms/1235871041795878209</t>
  </si>
  <si>
    <t>https://www.airbnb.com/rooms/781260299018769366</t>
  </si>
  <si>
    <t>https://www.airbnb.com/rooms/32337883</t>
  </si>
  <si>
    <t>https://www.airbnb.com/rooms/53010806</t>
  </si>
  <si>
    <t>https://www.airbnb.com/rooms/1253663425821502141</t>
  </si>
  <si>
    <t>https://www.airbnb.com/rooms/973905851922343684</t>
  </si>
  <si>
    <t>https://www.airbnb.com/rooms/756745139257532486</t>
  </si>
  <si>
    <t>https://www.airbnb.com/rooms/1374779553275531986</t>
  </si>
  <si>
    <t>https://www.airbnb.com/rooms/1435695720413057297</t>
  </si>
  <si>
    <t>https://www.airbnb.com/rooms/1283541492043353735</t>
  </si>
  <si>
    <t>https://www.airbnb.com/rooms/20559677</t>
  </si>
  <si>
    <t>https://www.airbnb.com/rooms/52191338</t>
  </si>
  <si>
    <t>https://www.airbnb.com/rooms/1440667831725583909</t>
  </si>
  <si>
    <t>https://www.airbnb.com/rooms/1436992510274343022</t>
  </si>
  <si>
    <t>https://www.airbnb.com/rooms/1192337624535237393</t>
  </si>
  <si>
    <t>https://www.airbnb.com/rooms/14947370</t>
  </si>
  <si>
    <t>https://www.airbnb.com/rooms/24692496</t>
  </si>
  <si>
    <t>https://www.airbnb.com/rooms/13688395</t>
  </si>
  <si>
    <t>https://www.airbnb.com/rooms/1329082887121857774</t>
  </si>
  <si>
    <t>https://www.airbnb.com/rooms/780818268809397420</t>
  </si>
  <si>
    <t>https://www.airbnb.com/rooms/21307973</t>
  </si>
  <si>
    <t>https://www.airbnb.com/rooms/51280440</t>
  </si>
  <si>
    <t>https://www.airbnb.com/rooms/1177683962097362672</t>
  </si>
  <si>
    <t>https://www.airbnb.com/rooms/1268836265687217076</t>
  </si>
  <si>
    <t>https://www.airbnb.com/rooms/968304507261489699</t>
  </si>
  <si>
    <t>https://www.airbnb.com/rooms/605165030037268815</t>
  </si>
  <si>
    <t>https://www.airbnb.com/rooms/1405557417415056661</t>
  </si>
  <si>
    <t>https://www.airbnb.com/rooms/1310214953310144863</t>
  </si>
  <si>
    <t>https://www.airbnb.com/rooms/49694627</t>
  </si>
  <si>
    <t>https://www.airbnb.com/rooms/1158858854592340624</t>
  </si>
  <si>
    <t>https://www.airbnb.com/rooms/41643466</t>
  </si>
  <si>
    <t>https://www.airbnb.com/rooms/1474865577960469094</t>
  </si>
  <si>
    <t>https://www.airbnb.com/rooms/41007814</t>
  </si>
  <si>
    <t>https://www.airbnb.com/rooms/1263292367994601615</t>
  </si>
  <si>
    <t>https://www.airbnb.com/rooms/7517736</t>
  </si>
  <si>
    <t>https://www.airbnb.com/rooms/1470737540214218818</t>
  </si>
  <si>
    <t>https://www.airbnb.com/rooms/39291189</t>
  </si>
  <si>
    <t>https://www.airbnb.com/rooms/683525328080620552</t>
  </si>
  <si>
    <t>https://www.airbnb.com/rooms/746694262534983862</t>
  </si>
  <si>
    <t>Chollas View</t>
  </si>
  <si>
    <t>https://www.airbnb.com/rooms/10839886</t>
  </si>
  <si>
    <t>https://www.airbnb.com/rooms/1436998860418851122</t>
  </si>
  <si>
    <t>https://www.airbnb.com/rooms/13310139</t>
  </si>
  <si>
    <t>https://www.airbnb.com/rooms/1436977247987126806</t>
  </si>
  <si>
    <t>https://www.airbnb.com/rooms/13867526</t>
  </si>
  <si>
    <t>https://www.airbnb.com/rooms/19227748</t>
  </si>
  <si>
    <t>https://www.airbnb.com/rooms/966795069815207135</t>
  </si>
  <si>
    <t>https://www.airbnb.com/rooms/664767833364521386</t>
  </si>
  <si>
    <t>https://www.airbnb.com/rooms/19611493</t>
  </si>
  <si>
    <t>https://www.airbnb.com/rooms/1028351216587135620</t>
  </si>
  <si>
    <t>https://www.airbnb.com/rooms/1371333668175496560</t>
  </si>
  <si>
    <t>https://www.airbnb.com/rooms/22958145</t>
  </si>
  <si>
    <t>https://www.airbnb.com/rooms/25688347</t>
  </si>
  <si>
    <t>https://www.airbnb.com/rooms/26076056</t>
  </si>
  <si>
    <t>https://www.airbnb.com/rooms/1273024300605183516</t>
  </si>
  <si>
    <t>https://www.airbnb.com/rooms/1036765737112215121</t>
  </si>
  <si>
    <t>https://www.airbnb.com/rooms/634741239331691608</t>
  </si>
  <si>
    <t>https://www.airbnb.com/rooms/41109805</t>
  </si>
  <si>
    <t>https://www.airbnb.com/rooms/9942997</t>
  </si>
  <si>
    <t>https://www.airbnb.com/rooms/1510630073294959561</t>
  </si>
  <si>
    <t>https://www.airbnb.com/rooms/1416992224352491018</t>
  </si>
  <si>
    <t>https://www.airbnb.com/rooms/6478435</t>
  </si>
  <si>
    <t>https://www.airbnb.com/rooms/32519818</t>
  </si>
  <si>
    <t>https://www.airbnb.com/rooms/41568261</t>
  </si>
  <si>
    <t>https://www.airbnb.com/rooms/11260850</t>
  </si>
  <si>
    <t>https://www.airbnb.com/rooms/5730977</t>
  </si>
  <si>
    <t>https://www.airbnb.com/rooms/737200849508946756</t>
  </si>
  <si>
    <t>https://www.airbnb.com/rooms/32019861</t>
  </si>
  <si>
    <t>https://www.airbnb.com/rooms/50444738</t>
  </si>
  <si>
    <t>https://www.airbnb.com/rooms/819775623437818792</t>
  </si>
  <si>
    <t>https://www.airbnb.com/rooms/6927007</t>
  </si>
  <si>
    <t>https://www.airbnb.com/rooms/1293650636636851876</t>
  </si>
  <si>
    <t>https://www.airbnb.com/rooms/656467890463038293</t>
  </si>
  <si>
    <t>https://www.airbnb.com/rooms/1403810624530354746</t>
  </si>
  <si>
    <t>https://www.airbnb.com/rooms/850310569915894080</t>
  </si>
  <si>
    <t>https://www.airbnb.com/rooms/1212979724638437002</t>
  </si>
  <si>
    <t>https://www.airbnb.com/rooms/21395483</t>
  </si>
  <si>
    <t>https://www.airbnb.com/rooms/1304395458085801914</t>
  </si>
  <si>
    <t>https://www.airbnb.com/rooms/1145892601160564210</t>
  </si>
  <si>
    <t>Terra Nova</t>
  </si>
  <si>
    <t>https://www.airbnb.com/rooms/1280595483699451014</t>
  </si>
  <si>
    <t>https://www.airbnb.com/rooms/1387332472544443328</t>
  </si>
  <si>
    <t>https://www.airbnb.com/rooms/883654274012956796</t>
  </si>
  <si>
    <t>https://www.airbnb.com/rooms/39463228</t>
  </si>
  <si>
    <t>https://www.airbnb.com/rooms/909875519248805274</t>
  </si>
  <si>
    <t>https://www.airbnb.com/rooms/1323500230059651349</t>
  </si>
  <si>
    <t>https://www.airbnb.com/rooms/1315301630834179167</t>
  </si>
  <si>
    <t>https://www.airbnb.com/rooms/993371235010514865</t>
  </si>
  <si>
    <t>https://www.airbnb.com/rooms/1010541799002153675</t>
  </si>
  <si>
    <t>https://www.airbnb.com/rooms/2145806</t>
  </si>
  <si>
    <t>https://www.airbnb.com/rooms/1364415236429540353</t>
  </si>
  <si>
    <t>https://www.airbnb.com/rooms/29479754</t>
  </si>
  <si>
    <t>https://www.airbnb.com/rooms/1141485061569830542</t>
  </si>
  <si>
    <t>https://www.airbnb.com/rooms/1207385336038332773</t>
  </si>
  <si>
    <t>https://www.airbnb.com/rooms/932790151928916941</t>
  </si>
  <si>
    <t>https://www.airbnb.com/rooms/49366201</t>
  </si>
  <si>
    <t>https://www.airbnb.com/rooms/1187163436904908816</t>
  </si>
  <si>
    <t>https://www.airbnb.com/rooms/994970620145695215</t>
  </si>
  <si>
    <t>https://www.airbnb.com/rooms/1136222908370625871</t>
  </si>
  <si>
    <t>https://www.airbnb.com/rooms/27488478</t>
  </si>
  <si>
    <t>https://www.airbnb.com/rooms/669566252651840319</t>
  </si>
  <si>
    <t>https://www.airbnb.com/rooms/36810174</t>
  </si>
  <si>
    <t>https://www.airbnb.com/rooms/1166797505238295480</t>
  </si>
  <si>
    <t>https://www.airbnb.com/rooms/23826192</t>
  </si>
  <si>
    <t>https://www.airbnb.com/rooms/1490235960942209334</t>
  </si>
  <si>
    <t>https://www.airbnb.com/rooms/1392164916449420220</t>
  </si>
  <si>
    <t>https://www.airbnb.com/rooms/922292077296216433</t>
  </si>
  <si>
    <t>https://www.airbnb.com/rooms/887823741897247700</t>
  </si>
  <si>
    <t>https://www.airbnb.com/rooms/763323420208729617</t>
  </si>
  <si>
    <t>https://www.airbnb.com/rooms/11069524</t>
  </si>
  <si>
    <t>https://www.airbnb.com/rooms/45070495</t>
  </si>
  <si>
    <t>https://www.airbnb.com/rooms/845771398114385013</t>
  </si>
  <si>
    <t>https://www.airbnb.com/rooms/32520353</t>
  </si>
  <si>
    <t>https://www.airbnb.com/rooms/752902924457961657</t>
  </si>
  <si>
    <t>https://www.airbnb.com/rooms/845938107454392232</t>
  </si>
  <si>
    <t>https://www.airbnb.com/rooms/1197387342218155721</t>
  </si>
  <si>
    <t>https://www.airbnb.com/rooms/24120786</t>
  </si>
  <si>
    <t>https://www.airbnb.com/rooms/45070069</t>
  </si>
  <si>
    <t>https://www.airbnb.com/rooms/18296112</t>
  </si>
  <si>
    <t>https://www.airbnb.com/rooms/1436319776706537647</t>
  </si>
  <si>
    <t>https://www.airbnb.com/rooms/51025805</t>
  </si>
  <si>
    <t>https://www.airbnb.com/rooms/825379013563979471</t>
  </si>
  <si>
    <t>https://www.airbnb.com/rooms/600185554913828444</t>
  </si>
  <si>
    <t>https://www.airbnb.com/rooms/5334268</t>
  </si>
  <si>
    <t>https://www.airbnb.com/rooms/553511689127358402</t>
  </si>
  <si>
    <t>Eastlake Vistas</t>
  </si>
  <si>
    <t>https://www.airbnb.com/rooms/5231680</t>
  </si>
  <si>
    <t>https://www.airbnb.com/rooms/1321992224847692112</t>
  </si>
  <si>
    <t>https://www.airbnb.com/rooms/5380942</t>
  </si>
  <si>
    <t>https://www.airbnb.com/rooms/1268573739907122169</t>
  </si>
  <si>
    <t>https://www.airbnb.com/rooms/894537097171745611</t>
  </si>
  <si>
    <t>https://www.airbnb.com/rooms/15928389</t>
  </si>
  <si>
    <t>https://www.airbnb.com/rooms/964910762875725299</t>
  </si>
  <si>
    <t>https://www.airbnb.com/rooms/1430638130928136101</t>
  </si>
  <si>
    <t>https://www.airbnb.com/rooms/602930030525672985</t>
  </si>
  <si>
    <t>https://www.airbnb.com/rooms/9094619</t>
  </si>
  <si>
    <t>https://www.airbnb.com/rooms/852108468270077496</t>
  </si>
  <si>
    <t>https://www.airbnb.com/rooms/43885027</t>
  </si>
  <si>
    <t>https://www.airbnb.com/rooms/1402820568125255161</t>
  </si>
  <si>
    <t>Amphitheater And Water Park</t>
  </si>
  <si>
    <t>https://www.airbnb.com/rooms/23072178</t>
  </si>
  <si>
    <t>https://www.airbnb.com/rooms/9859063</t>
  </si>
  <si>
    <t>https://www.airbnb.com/rooms/48977472</t>
  </si>
  <si>
    <t>https://www.airbnb.com/rooms/11261093</t>
  </si>
  <si>
    <t>https://www.airbnb.com/rooms/42205888</t>
  </si>
  <si>
    <t>https://www.airbnb.com/rooms/886513074171118513</t>
  </si>
  <si>
    <t>https://www.airbnb.com/rooms/8841898</t>
  </si>
  <si>
    <t>https://www.airbnb.com/rooms/1130513393532904311</t>
  </si>
  <si>
    <t>https://www.airbnb.com/rooms/999326298016689355</t>
  </si>
  <si>
    <t>Wooded Area</t>
  </si>
  <si>
    <t>https://www.airbnb.com/rooms/1066097</t>
  </si>
  <si>
    <t>https://www.airbnb.com/rooms/1248008666709430985</t>
  </si>
  <si>
    <t>https://www.airbnb.com/rooms/46508371</t>
  </si>
  <si>
    <t>https://www.airbnb.com/rooms/2111987</t>
  </si>
  <si>
    <t>https://www.airbnb.com/rooms/20607374</t>
  </si>
  <si>
    <t>https://www.airbnb.com/rooms/51493997</t>
  </si>
  <si>
    <t>https://www.airbnb.com/rooms/52632786</t>
  </si>
  <si>
    <t>https://www.airbnb.com/rooms/773246237321670286</t>
  </si>
  <si>
    <t>https://www.airbnb.com/rooms/1218082733636273670</t>
  </si>
  <si>
    <t>https://www.airbnb.com/rooms/5632809</t>
  </si>
  <si>
    <t>https://www.airbnb.com/rooms/991248830395515652</t>
  </si>
  <si>
    <t>https://www.airbnb.com/rooms/816955603404557774</t>
  </si>
  <si>
    <t>https://www.airbnb.com/rooms/36950002</t>
  </si>
  <si>
    <t>https://www.airbnb.com/rooms/1072679105549407778</t>
  </si>
  <si>
    <t>https://www.airbnb.com/rooms/936899545920462679</t>
  </si>
  <si>
    <t>https://www.airbnb.com/rooms/660527309247333984</t>
  </si>
  <si>
    <t>https://www.airbnb.com/rooms/664578543300927879</t>
  </si>
  <si>
    <t>https://www.airbnb.com/rooms/720595219254739249</t>
  </si>
  <si>
    <t>https://www.airbnb.com/rooms/17207222</t>
  </si>
  <si>
    <t>https://www.airbnb.com/rooms/1076344972724760623</t>
  </si>
  <si>
    <t>https://www.airbnb.com/rooms/735664411034113001</t>
  </si>
  <si>
    <t>https://www.airbnb.com/rooms/731883713901821951</t>
  </si>
  <si>
    <t>https://www.airbnb.com/rooms/937076006266769922</t>
  </si>
  <si>
    <t>https://www.airbnb.com/rooms/51709829</t>
  </si>
  <si>
    <t>https://www.airbnb.com/rooms/1032718639167334611</t>
  </si>
  <si>
    <t>https://www.airbnb.com/rooms/1211023610089005872</t>
  </si>
  <si>
    <t>https://www.airbnb.com/rooms/1028987884207576609</t>
  </si>
  <si>
    <t>https://www.airbnb.com/rooms/9843668</t>
  </si>
  <si>
    <t>https://www.airbnb.com/rooms/999592871958103828</t>
  </si>
  <si>
    <t>https://www.airbnb.com/rooms/1138021854806248207</t>
  </si>
  <si>
    <t>https://www.airbnb.com/rooms/550380542043470603</t>
  </si>
  <si>
    <t>https://www.airbnb.com/rooms/973314611520753743</t>
  </si>
  <si>
    <t>https://www.airbnb.com/rooms/20540908</t>
  </si>
  <si>
    <t>https://www.airbnb.com/rooms/9214669</t>
  </si>
  <si>
    <t>https://www.airbnb.com/rooms/44020254</t>
  </si>
  <si>
    <t>https://www.airbnb.com/rooms/1285665943140333778</t>
  </si>
  <si>
    <t>https://www.airbnb.com/rooms/23361007</t>
  </si>
  <si>
    <t>https://www.airbnb.com/rooms/36568795</t>
  </si>
  <si>
    <t>https://www.airbnb.com/rooms/29412810</t>
  </si>
  <si>
    <t>https://www.airbnb.com/rooms/12633180</t>
  </si>
  <si>
    <t>https://www.airbnb.com/rooms/12726185</t>
  </si>
  <si>
    <t>https://www.airbnb.com/rooms/1149292259490466834</t>
  </si>
  <si>
    <t>https://www.airbnb.com/rooms/1514835766311899830</t>
  </si>
  <si>
    <t>https://www.airbnb.com/rooms/837673219179927335</t>
  </si>
  <si>
    <t>https://www.airbnb.com/rooms/842917357476970603</t>
  </si>
  <si>
    <t>https://www.airbnb.com/rooms/937249652846591485</t>
  </si>
  <si>
    <t>https://www.airbnb.com/rooms/1040741722958706838</t>
  </si>
  <si>
    <t>https://www.airbnb.com/rooms/25110860</t>
  </si>
  <si>
    <t>https://www.airbnb.com/rooms/1096515792589791020</t>
  </si>
  <si>
    <t>Del Mar Heights</t>
  </si>
  <si>
    <t>https://www.airbnb.com/rooms/1131543029761195241</t>
  </si>
  <si>
    <t>https://www.airbnb.com/rooms/1202437447374438405</t>
  </si>
  <si>
    <t>https://www.airbnb.com/rooms/1256956782414551757</t>
  </si>
  <si>
    <t>https://www.airbnb.com/rooms/1277866971001094481</t>
  </si>
  <si>
    <t>https://www.airbnb.com/rooms/16754403</t>
  </si>
  <si>
    <t>https://www.airbnb.com/rooms/48641666</t>
  </si>
  <si>
    <t>Del Cerro</t>
  </si>
  <si>
    <t>https://www.airbnb.com/rooms/672383383284952547</t>
  </si>
  <si>
    <t>https://www.airbnb.com/rooms/711192446641920339</t>
  </si>
  <si>
    <t>Little Italy</t>
  </si>
  <si>
    <t>https://www.airbnb.com/rooms/48044372</t>
  </si>
  <si>
    <t>https://www.airbnb.com/rooms/1145453565918726916</t>
  </si>
  <si>
    <t>https://www.airbnb.com/rooms/589254</t>
  </si>
  <si>
    <t>https://www.airbnb.com/rooms/811194055717280908</t>
  </si>
  <si>
    <t>https://www.airbnb.com/rooms/17993492</t>
  </si>
  <si>
    <t>https://www.airbnb.com/rooms/12447</t>
  </si>
  <si>
    <t>https://www.airbnb.com/rooms/549991088385219400</t>
  </si>
  <si>
    <t>https://www.airbnb.com/rooms/9627161</t>
  </si>
  <si>
    <t>https://www.airbnb.com/rooms/5751783</t>
  </si>
  <si>
    <t>https://www.airbnb.com/rooms/26785080</t>
  </si>
  <si>
    <t>https://www.airbnb.com/rooms/51211301</t>
  </si>
  <si>
    <t>https://www.airbnb.com/rooms/834939088572315065</t>
  </si>
  <si>
    <t>https://www.airbnb.com/rooms/745842489754749688</t>
  </si>
  <si>
    <t>https://www.airbnb.com/rooms/1373414149781866300</t>
  </si>
  <si>
    <t>https://www.airbnb.com/rooms/1467052058368901427</t>
  </si>
  <si>
    <t>https://www.airbnb.com/rooms/1239248493912683235</t>
  </si>
  <si>
    <t>https://www.airbnb.com/rooms/28523080</t>
  </si>
  <si>
    <t>https://www.airbnb.com/rooms/1201801070434793726</t>
  </si>
  <si>
    <t>https://www.airbnb.com/rooms/18545435</t>
  </si>
  <si>
    <t>https://www.airbnb.com/rooms/46029917</t>
  </si>
  <si>
    <t>https://www.airbnb.com/rooms/13769193</t>
  </si>
  <si>
    <t>https://www.airbnb.com/rooms/10091360</t>
  </si>
  <si>
    <t>https://www.airbnb.com/rooms/1115516</t>
  </si>
  <si>
    <t>https://www.airbnb.com/rooms/4592724</t>
  </si>
  <si>
    <t>https://www.airbnb.com/rooms/773246253620936891</t>
  </si>
  <si>
    <t>https://www.airbnb.com/rooms/1477667822848446317</t>
  </si>
  <si>
    <t>https://www.airbnb.com/rooms/10921166</t>
  </si>
  <si>
    <t>https://www.airbnb.com/rooms/11213168</t>
  </si>
  <si>
    <t>https://www.airbnb.com/rooms/30554922</t>
  </si>
  <si>
    <t>https://www.airbnb.com/rooms/1288901819832072106</t>
  </si>
  <si>
    <t>https://www.airbnb.com/rooms/613952880289915772</t>
  </si>
  <si>
    <t>https://www.airbnb.com/rooms/860481581373039317</t>
  </si>
  <si>
    <t>https://www.airbnb.com/rooms/974193207201391825</t>
  </si>
  <si>
    <t>https://www.airbnb.com/rooms/822481717461405995</t>
  </si>
  <si>
    <t>https://www.airbnb.com/rooms/835735950771541422</t>
  </si>
  <si>
    <t>https://www.airbnb.com/rooms/821171875771710617</t>
  </si>
  <si>
    <t>https://www.airbnb.com/rooms/5006040</t>
  </si>
  <si>
    <t>https://www.airbnb.com/rooms/823934176211344666</t>
  </si>
  <si>
    <t>https://www.airbnb.com/rooms/669006136614464287</t>
  </si>
  <si>
    <t>https://www.airbnb.com/rooms/1268522971566902503</t>
  </si>
  <si>
    <t>https://www.airbnb.com/rooms/12873632</t>
  </si>
  <si>
    <t>https://www.airbnb.com/rooms/1076819173403572546</t>
  </si>
  <si>
    <t>https://www.airbnb.com/rooms/991300835029927910</t>
  </si>
  <si>
    <t>https://www.airbnb.com/rooms/4024737</t>
  </si>
  <si>
    <t>https://www.airbnb.com/rooms/3732214</t>
  </si>
  <si>
    <t>https://www.airbnb.com/rooms/1086946580569380459</t>
  </si>
  <si>
    <t>https://www.airbnb.com/rooms/18553393</t>
  </si>
  <si>
    <t>https://www.airbnb.com/rooms/1496702087880228691</t>
  </si>
  <si>
    <t>https://www.airbnb.com/rooms/1218557931169576395</t>
  </si>
  <si>
    <t>https://www.airbnb.com/rooms/19138010</t>
  </si>
  <si>
    <t>Kensington</t>
  </si>
  <si>
    <t>https://www.airbnb.com/rooms/3475437</t>
  </si>
  <si>
    <t>https://www.airbnb.com/rooms/584002751317959534</t>
  </si>
  <si>
    <t>https://www.airbnb.com/rooms/45831887</t>
  </si>
  <si>
    <t>https://www.airbnb.com/rooms/1165985623811349892</t>
  </si>
  <si>
    <t>https://www.airbnb.com/rooms/1432636430979230788</t>
  </si>
  <si>
    <t>https://www.airbnb.com/rooms/38697626</t>
  </si>
  <si>
    <t>https://www.airbnb.com/rooms/1218260437615543601</t>
  </si>
  <si>
    <t>Park West</t>
  </si>
  <si>
    <t>https://www.airbnb.com/rooms/1300807715868319062</t>
  </si>
  <si>
    <t>https://www.airbnb.com/rooms/730518513423340069</t>
  </si>
  <si>
    <t>https://www.airbnb.com/rooms/875571327553363874</t>
  </si>
  <si>
    <t>https://www.airbnb.com/rooms/1158954379822202773</t>
  </si>
  <si>
    <t>https://www.airbnb.com/rooms/765755747733176842</t>
  </si>
  <si>
    <t>https://www.airbnb.com/rooms/26003358</t>
  </si>
  <si>
    <t>https://www.airbnb.com/rooms/956160920466870848</t>
  </si>
  <si>
    <t>https://www.airbnb.com/rooms/49154946</t>
  </si>
  <si>
    <t>https://www.airbnb.com/rooms/10881329</t>
  </si>
  <si>
    <t>https://www.airbnb.com/rooms/975905015986457757</t>
  </si>
  <si>
    <t>https://www.airbnb.com/rooms/19408306</t>
  </si>
  <si>
    <t>https://www.airbnb.com/rooms/50678195</t>
  </si>
  <si>
    <t>https://www.airbnb.com/rooms/875564124880627368</t>
  </si>
  <si>
    <t>https://www.airbnb.com/rooms/671113514030300885</t>
  </si>
  <si>
    <t>https://www.airbnb.com/rooms/948177854785026278</t>
  </si>
  <si>
    <t>https://www.airbnb.com/rooms/869775439543420659</t>
  </si>
  <si>
    <t>https://www.airbnb.com/rooms/12814143</t>
  </si>
  <si>
    <t>https://www.airbnb.com/rooms/938049294257484772</t>
  </si>
  <si>
    <t>https://www.airbnb.com/rooms/62274</t>
  </si>
  <si>
    <t>https://www.airbnb.com/rooms/565513724281039940</t>
  </si>
  <si>
    <t>https://www.airbnb.com/rooms/599307139485806243</t>
  </si>
  <si>
    <t>https://www.airbnb.com/rooms/1342831139276039766</t>
  </si>
  <si>
    <t>https://www.airbnb.com/rooms/770581666765245347</t>
  </si>
  <si>
    <t>https://www.airbnb.com/rooms/19663353</t>
  </si>
  <si>
    <t>https://www.airbnb.com/rooms/1488632747310645511</t>
  </si>
  <si>
    <t>https://www.airbnb.com/rooms/35300219</t>
  </si>
  <si>
    <t>Kearny Mesa</t>
  </si>
  <si>
    <t>https://www.airbnb.com/rooms/659658149980939357</t>
  </si>
  <si>
    <t>https://www.airbnb.com/rooms/52191226</t>
  </si>
  <si>
    <t>https://www.airbnb.com/rooms/1191381213984348963</t>
  </si>
  <si>
    <t>https://www.airbnb.com/rooms/20663285</t>
  </si>
  <si>
    <t>https://www.airbnb.com/rooms/645921434259592461</t>
  </si>
  <si>
    <t>https://www.airbnb.com/rooms/1131929672276634349</t>
  </si>
  <si>
    <t>https://www.airbnb.com/rooms/1132017321760242572</t>
  </si>
  <si>
    <t>https://www.airbnb.com/rooms/54391218</t>
  </si>
  <si>
    <t>https://www.airbnb.com/rooms/1469775344449418971</t>
  </si>
  <si>
    <t>https://www.airbnb.com/rooms/1409548422053103798</t>
  </si>
  <si>
    <t>https://www.airbnb.com/rooms/1409541645073382336</t>
  </si>
  <si>
    <t>https://www.airbnb.com/rooms/1409541704456445512</t>
  </si>
  <si>
    <t>https://www.airbnb.com/rooms/921008723214704706</t>
  </si>
  <si>
    <t>https://www.airbnb.com/rooms/1160342448286466259</t>
  </si>
  <si>
    <t>https://www.airbnb.com/rooms/1175660693076413171</t>
  </si>
  <si>
    <t>https://www.airbnb.com/rooms/1190719624672913967</t>
  </si>
  <si>
    <t>https://www.airbnb.com/rooms/1457381076742767394</t>
  </si>
  <si>
    <t>https://www.airbnb.com/rooms/7096414</t>
  </si>
  <si>
    <t>https://www.airbnb.com/rooms/1511719033557193845</t>
  </si>
  <si>
    <t>https://www.airbnb.com/rooms/1137830765937584622</t>
  </si>
  <si>
    <t>https://www.airbnb.com/rooms/705141874290701888</t>
  </si>
  <si>
    <t>https://www.airbnb.com/rooms/932097250470891874</t>
  </si>
  <si>
    <t>https://www.airbnb.com/rooms/1406111417045951953</t>
  </si>
  <si>
    <t>https://www.airbnb.com/rooms/1203563126669052916</t>
  </si>
  <si>
    <t>https://www.airbnb.com/rooms/77785</t>
  </si>
  <si>
    <t>https://www.airbnb.com/rooms/5480764</t>
  </si>
  <si>
    <t>https://www.airbnb.com/rooms/13493187</t>
  </si>
  <si>
    <t>https://www.airbnb.com/rooms/819476105135978972</t>
  </si>
  <si>
    <t>Gateway</t>
  </si>
  <si>
    <t>https://www.airbnb.com/rooms/1025256524355600233</t>
  </si>
  <si>
    <t>https://www.airbnb.com/rooms/22587010</t>
  </si>
  <si>
    <t>https://www.airbnb.com/rooms/7698814</t>
  </si>
  <si>
    <t>https://www.airbnb.com/rooms/1007825693998065446</t>
  </si>
  <si>
    <t>https://www.airbnb.com/rooms/584989253825642238</t>
  </si>
  <si>
    <t>https://www.airbnb.com/rooms/28303660</t>
  </si>
  <si>
    <t>https://www.airbnb.com/rooms/1467575218450827014</t>
  </si>
  <si>
    <t>https://www.airbnb.com/rooms/1300795374095390916</t>
  </si>
  <si>
    <t>https://www.airbnb.com/rooms/41012009</t>
  </si>
  <si>
    <t>https://www.airbnb.com/rooms/8115598</t>
  </si>
  <si>
    <t>https://www.airbnb.com/rooms/1421152733098867113</t>
  </si>
  <si>
    <t>https://www.airbnb.com/rooms/19549129</t>
  </si>
  <si>
    <t>https://www.airbnb.com/rooms/24431226</t>
  </si>
  <si>
    <t>https://www.airbnb.com/rooms/1404533499980234232</t>
  </si>
  <si>
    <t>https://www.airbnb.com/rooms/821222077259287125</t>
  </si>
  <si>
    <t>https://www.airbnb.com/rooms/568445359443484740</t>
  </si>
  <si>
    <t>https://www.airbnb.com/rooms/43859115</t>
  </si>
  <si>
    <t>https://www.airbnb.com/rooms/51841364</t>
  </si>
  <si>
    <t>https://www.airbnb.com/rooms/6279041</t>
  </si>
  <si>
    <t>https://www.airbnb.com/rooms/1236204835461389257</t>
  </si>
  <si>
    <t>https://www.airbnb.com/rooms/9080054</t>
  </si>
  <si>
    <t>https://www.airbnb.com/rooms/51387225</t>
  </si>
  <si>
    <t>https://www.airbnb.com/rooms/37908446</t>
  </si>
  <si>
    <t>https://www.airbnb.com/rooms/20541732</t>
  </si>
  <si>
    <t>https://www.airbnb.com/rooms/1089412728416481720</t>
  </si>
  <si>
    <t>https://www.airbnb.com/rooms/51754790</t>
  </si>
  <si>
    <t>https://www.airbnb.com/rooms/27635927</t>
  </si>
  <si>
    <t>https://www.airbnb.com/rooms/1202413227146555597</t>
  </si>
  <si>
    <t>https://www.airbnb.com/rooms/31309024</t>
  </si>
  <si>
    <t>https://www.airbnb.com/rooms/35310357</t>
  </si>
  <si>
    <t>https://www.airbnb.com/rooms/19786347</t>
  </si>
  <si>
    <t>https://www.airbnb.com/rooms/758966680455645060</t>
  </si>
  <si>
    <t>https://www.airbnb.com/rooms/35311636</t>
  </si>
  <si>
    <t>https://www.airbnb.com/rooms/35311328</t>
  </si>
  <si>
    <t>https://www.airbnb.com/rooms/19071234</t>
  </si>
  <si>
    <t>https://www.airbnb.com/rooms/44683507</t>
  </si>
  <si>
    <t>https://www.airbnb.com/rooms/1031510788723020892</t>
  </si>
  <si>
    <t>https://www.airbnb.com/rooms/4602584</t>
  </si>
  <si>
    <t>https://www.airbnb.com/rooms/829221339343623645</t>
  </si>
  <si>
    <t>https://www.airbnb.com/rooms/705686492596712852</t>
  </si>
  <si>
    <t>https://www.airbnb.com/rooms/1416781251765126962</t>
  </si>
  <si>
    <t>https://www.airbnb.com/rooms/1008880784836022332</t>
  </si>
  <si>
    <t>https://www.airbnb.com/rooms/13399907</t>
  </si>
  <si>
    <t>https://www.airbnb.com/rooms/28309035</t>
  </si>
  <si>
    <t>https://www.airbnb.com/rooms/1310904106181127465</t>
  </si>
  <si>
    <t>https://www.airbnb.com/rooms/1183317935603928330</t>
  </si>
  <si>
    <t>https://www.airbnb.com/rooms/34566847</t>
  </si>
  <si>
    <t>https://www.airbnb.com/rooms/1150666470754597985</t>
  </si>
  <si>
    <t>https://www.airbnb.com/rooms/1404490173878743771</t>
  </si>
  <si>
    <t>https://www.airbnb.com/rooms/1016708798523863568</t>
  </si>
  <si>
    <t>https://www.airbnb.com/rooms/6910122</t>
  </si>
  <si>
    <t>https://www.airbnb.com/rooms/986151942386375523</t>
  </si>
  <si>
    <t>https://www.airbnb.com/rooms/1470486738211176065</t>
  </si>
  <si>
    <t>https://www.airbnb.com/rooms/35309406</t>
  </si>
  <si>
    <t>https://www.airbnb.com/rooms/1406075555537314836</t>
  </si>
  <si>
    <t>https://www.airbnb.com/rooms/23770893</t>
  </si>
  <si>
    <t>https://www.airbnb.com/rooms/1424501274507766420</t>
  </si>
  <si>
    <t>https://www.airbnb.com/rooms/1432687125346485382</t>
  </si>
  <si>
    <t>https://www.airbnb.com/rooms/1241482769458528690</t>
  </si>
  <si>
    <t>https://www.airbnb.com/rooms/52965513</t>
  </si>
  <si>
    <t>https://www.airbnb.com/rooms/5525476</t>
  </si>
  <si>
    <t>https://www.airbnb.com/rooms/13320138</t>
  </si>
  <si>
    <t>https://www.airbnb.com/rooms/27631687</t>
  </si>
  <si>
    <t>https://www.airbnb.com/rooms/1086945240941786433</t>
  </si>
  <si>
    <t>https://www.airbnb.com/rooms/1421090199358349174</t>
  </si>
  <si>
    <t>https://www.airbnb.com/rooms/21074794</t>
  </si>
  <si>
    <t>https://www.airbnb.com/rooms/14613532</t>
  </si>
  <si>
    <t>https://www.airbnb.com/rooms/1024319116446657627</t>
  </si>
  <si>
    <t>https://www.airbnb.com/rooms/752161036016525094</t>
  </si>
  <si>
    <t>https://www.airbnb.com/rooms/761529273300663082</t>
  </si>
  <si>
    <t>https://www.airbnb.com/rooms/1465666939887151186</t>
  </si>
  <si>
    <t>https://www.airbnb.com/rooms/1397342439117497158</t>
  </si>
  <si>
    <t>https://www.airbnb.com/rooms/1011041835087918828</t>
  </si>
  <si>
    <t>https://www.airbnb.com/rooms/893699249205224561</t>
  </si>
  <si>
    <t>https://www.airbnb.com/rooms/103417</t>
  </si>
  <si>
    <t>https://www.airbnb.com/rooms/1421102493933775330</t>
  </si>
  <si>
    <t>https://www.airbnb.com/rooms/1421120921848560662</t>
  </si>
  <si>
    <t>https://www.airbnb.com/rooms/974945600979602441</t>
  </si>
  <si>
    <t>https://www.airbnb.com/rooms/6361851</t>
  </si>
  <si>
    <t>https://www.airbnb.com/rooms/27551066</t>
  </si>
  <si>
    <t>https://www.airbnb.com/rooms/629205525065490187</t>
  </si>
  <si>
    <t>https://www.airbnb.com/rooms/36211264</t>
  </si>
  <si>
    <t># estimated_revenue_l365d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</si>
</sst>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Sheet1!$J$3:$J$1002</c:f>
              <c:numCache>
                <c:formatCode>General</c:formatCode>
                <c:ptCount val="977"/>
                <c:pt idx="0">
                  <c:v>100</c:v>
                </c:pt>
                <c:pt idx="1">
                  <c:v>150</c:v>
                </c:pt>
                <c:pt idx="2">
                  <c:v>95</c:v>
                </c:pt>
                <c:pt idx="3">
                  <c:v>125</c:v>
                </c:pt>
                <c:pt idx="4">
                  <c:v>110</c:v>
                </c:pt>
                <c:pt idx="5">
                  <c:v>99</c:v>
                </c:pt>
                <c:pt idx="6">
                  <c:v>175</c:v>
                </c:pt>
                <c:pt idx="7">
                  <c:v>144</c:v>
                </c:pt>
                <c:pt idx="8">
                  <c:v>120</c:v>
                </c:pt>
                <c:pt idx="9">
                  <c:v>105</c:v>
                </c:pt>
                <c:pt idx="10">
                  <c:v>200</c:v>
                </c:pt>
                <c:pt idx="11">
                  <c:v>140</c:v>
                </c:pt>
                <c:pt idx="12">
                  <c:v>113</c:v>
                </c:pt>
                <c:pt idx="13">
                  <c:v>90</c:v>
                </c:pt>
                <c:pt idx="14">
                  <c:v>165</c:v>
                </c:pt>
                <c:pt idx="15">
                  <c:v>129</c:v>
                </c:pt>
                <c:pt idx="16">
                  <c:v>115</c:v>
                </c:pt>
                <c:pt idx="17">
                  <c:v>116</c:v>
                </c:pt>
                <c:pt idx="18">
                  <c:v>148</c:v>
                </c:pt>
                <c:pt idx="19">
                  <c:v>128</c:v>
                </c:pt>
                <c:pt idx="20">
                  <c:v>102</c:v>
                </c:pt>
                <c:pt idx="21">
                  <c:v>160</c:v>
                </c:pt>
                <c:pt idx="22">
                  <c:v>130</c:v>
                </c:pt>
                <c:pt idx="23">
                  <c:v>119</c:v>
                </c:pt>
                <c:pt idx="24">
                  <c:v>132</c:v>
                </c:pt>
                <c:pt idx="25">
                  <c:v>117</c:v>
                </c:pt>
                <c:pt idx="26">
                  <c:v>108</c:v>
                </c:pt>
                <c:pt idx="27">
                  <c:v>155</c:v>
                </c:pt>
                <c:pt idx="28">
                  <c:v>114</c:v>
                </c:pt>
                <c:pt idx="29">
                  <c:v>123</c:v>
                </c:pt>
                <c:pt idx="30">
                  <c:v>143</c:v>
                </c:pt>
                <c:pt idx="31">
                  <c:v>149</c:v>
                </c:pt>
                <c:pt idx="32">
                  <c:v>134</c:v>
                </c:pt>
                <c:pt idx="33">
                  <c:v>112</c:v>
                </c:pt>
                <c:pt idx="34">
                  <c:v>147</c:v>
                </c:pt>
                <c:pt idx="35">
                  <c:v>126</c:v>
                </c:pt>
                <c:pt idx="36">
                  <c:v>188</c:v>
                </c:pt>
                <c:pt idx="37">
                  <c:v>185</c:v>
                </c:pt>
                <c:pt idx="38">
                  <c:v>136</c:v>
                </c:pt>
                <c:pt idx="39">
                  <c:v>107</c:v>
                </c:pt>
                <c:pt idx="40">
                  <c:v>180</c:v>
                </c:pt>
                <c:pt idx="41">
                  <c:v>139</c:v>
                </c:pt>
                <c:pt idx="42">
                  <c:v>133</c:v>
                </c:pt>
                <c:pt idx="43">
                  <c:v>109</c:v>
                </c:pt>
                <c:pt idx="44">
                  <c:v>89</c:v>
                </c:pt>
                <c:pt idx="45">
                  <c:v>225</c:v>
                </c:pt>
                <c:pt idx="46">
                  <c:v>171</c:v>
                </c:pt>
                <c:pt idx="47">
                  <c:v>97</c:v>
                </c:pt>
                <c:pt idx="48">
                  <c:v>85</c:v>
                </c:pt>
                <c:pt idx="49">
                  <c:v>195</c:v>
                </c:pt>
                <c:pt idx="50">
                  <c:v>170</c:v>
                </c:pt>
                <c:pt idx="51">
                  <c:v>156</c:v>
                </c:pt>
                <c:pt idx="52">
                  <c:v>145</c:v>
                </c:pt>
                <c:pt idx="53">
                  <c:v>122</c:v>
                </c:pt>
                <c:pt idx="54">
                  <c:v>96</c:v>
                </c:pt>
                <c:pt idx="55">
                  <c:v>94</c:v>
                </c:pt>
                <c:pt idx="56">
                  <c:v>250</c:v>
                </c:pt>
                <c:pt idx="57">
                  <c:v>158</c:v>
                </c:pt>
                <c:pt idx="58">
                  <c:v>131</c:v>
                </c:pt>
                <c:pt idx="59">
                  <c:v>127</c:v>
                </c:pt>
                <c:pt idx="60">
                  <c:v>124</c:v>
                </c:pt>
                <c:pt idx="61">
                  <c:v>270</c:v>
                </c:pt>
                <c:pt idx="62">
                  <c:v>111</c:v>
                </c:pt>
                <c:pt idx="63">
                  <c:v>167</c:v>
                </c:pt>
                <c:pt idx="64">
                  <c:v>146</c:v>
                </c:pt>
                <c:pt idx="65">
                  <c:v>141</c:v>
                </c:pt>
                <c:pt idx="66">
                  <c:v>138</c:v>
                </c:pt>
                <c:pt idx="67">
                  <c:v>118</c:v>
                </c:pt>
                <c:pt idx="68">
                  <c:v>103</c:v>
                </c:pt>
                <c:pt idx="69">
                  <c:v>190</c:v>
                </c:pt>
                <c:pt idx="70">
                  <c:v>179</c:v>
                </c:pt>
                <c:pt idx="71">
                  <c:v>177</c:v>
                </c:pt>
                <c:pt idx="72">
                  <c:v>152</c:v>
                </c:pt>
                <c:pt idx="73">
                  <c:v>88</c:v>
                </c:pt>
                <c:pt idx="74">
                  <c:v>87</c:v>
                </c:pt>
                <c:pt idx="75">
                  <c:v>300</c:v>
                </c:pt>
                <c:pt idx="76">
                  <c:v>215</c:v>
                </c:pt>
                <c:pt idx="77">
                  <c:v>199</c:v>
                </c:pt>
                <c:pt idx="78">
                  <c:v>173</c:v>
                </c:pt>
                <c:pt idx="79">
                  <c:v>153</c:v>
                </c:pt>
                <c:pt idx="80">
                  <c:v>104</c:v>
                </c:pt>
                <c:pt idx="81">
                  <c:v>212</c:v>
                </c:pt>
                <c:pt idx="82">
                  <c:v>161</c:v>
                </c:pt>
                <c:pt idx="83">
                  <c:v>92</c:v>
                </c:pt>
                <c:pt idx="84">
                  <c:v>183</c:v>
                </c:pt>
                <c:pt idx="85">
                  <c:v>176</c:v>
                </c:pt>
                <c:pt idx="86">
                  <c:v>157</c:v>
                </c:pt>
                <c:pt idx="87">
                  <c:v>142</c:v>
                </c:pt>
                <c:pt idx="88">
                  <c:v>101</c:v>
                </c:pt>
                <c:pt idx="89">
                  <c:v>98</c:v>
                </c:pt>
                <c:pt idx="90">
                  <c:v>205</c:v>
                </c:pt>
                <c:pt idx="91">
                  <c:v>196</c:v>
                </c:pt>
                <c:pt idx="92">
                  <c:v>192</c:v>
                </c:pt>
                <c:pt idx="93">
                  <c:v>178</c:v>
                </c:pt>
                <c:pt idx="94">
                  <c:v>164</c:v>
                </c:pt>
                <c:pt idx="95">
                  <c:v>218</c:v>
                </c:pt>
                <c:pt idx="96">
                  <c:v>198</c:v>
                </c:pt>
                <c:pt idx="97">
                  <c:v>193</c:v>
                </c:pt>
                <c:pt idx="98">
                  <c:v>169</c:v>
                </c:pt>
                <c:pt idx="99">
                  <c:v>106</c:v>
                </c:pt>
                <c:pt idx="100">
                  <c:v>80</c:v>
                </c:pt>
                <c:pt idx="101">
                  <c:v>299</c:v>
                </c:pt>
                <c:pt idx="102">
                  <c:v>211</c:v>
                </c:pt>
                <c:pt idx="103">
                  <c:v>207</c:v>
                </c:pt>
                <c:pt idx="104">
                  <c:v>204</c:v>
                </c:pt>
                <c:pt idx="105">
                  <c:v>201</c:v>
                </c:pt>
                <c:pt idx="106">
                  <c:v>194</c:v>
                </c:pt>
                <c:pt idx="107">
                  <c:v>166</c:v>
                </c:pt>
                <c:pt idx="108">
                  <c:v>159</c:v>
                </c:pt>
                <c:pt idx="109">
                  <c:v>223</c:v>
                </c:pt>
                <c:pt idx="110">
                  <c:v>210</c:v>
                </c:pt>
                <c:pt idx="111">
                  <c:v>163</c:v>
                </c:pt>
                <c:pt idx="112">
                  <c:v>86</c:v>
                </c:pt>
                <c:pt idx="113">
                  <c:v>262</c:v>
                </c:pt>
                <c:pt idx="114">
                  <c:v>214</c:v>
                </c:pt>
                <c:pt idx="115">
                  <c:v>172</c:v>
                </c:pt>
                <c:pt idx="116">
                  <c:v>295</c:v>
                </c:pt>
                <c:pt idx="117">
                  <c:v>285</c:v>
                </c:pt>
                <c:pt idx="118">
                  <c:v>235</c:v>
                </c:pt>
                <c:pt idx="119">
                  <c:v>220</c:v>
                </c:pt>
                <c:pt idx="120">
                  <c:v>216</c:v>
                </c:pt>
                <c:pt idx="121">
                  <c:v>208</c:v>
                </c:pt>
                <c:pt idx="122">
                  <c:v>197</c:v>
                </c:pt>
                <c:pt idx="123">
                  <c:v>187</c:v>
                </c:pt>
                <c:pt idx="124">
                  <c:v>162</c:v>
                </c:pt>
                <c:pt idx="125">
                  <c:v>151</c:v>
                </c:pt>
                <c:pt idx="126">
                  <c:v>322</c:v>
                </c:pt>
                <c:pt idx="127">
                  <c:v>315</c:v>
                </c:pt>
                <c:pt idx="128">
                  <c:v>248</c:v>
                </c:pt>
                <c:pt idx="129">
                  <c:v>213</c:v>
                </c:pt>
                <c:pt idx="130">
                  <c:v>168</c:v>
                </c:pt>
                <c:pt idx="131">
                  <c:v>93</c:v>
                </c:pt>
                <c:pt idx="132">
                  <c:v>83</c:v>
                </c:pt>
                <c:pt idx="133">
                  <c:v>82</c:v>
                </c:pt>
                <c:pt idx="134">
                  <c:v>274</c:v>
                </c:pt>
                <c:pt idx="135">
                  <c:v>241</c:v>
                </c:pt>
                <c:pt idx="136">
                  <c:v>238</c:v>
                </c:pt>
                <c:pt idx="137">
                  <c:v>70</c:v>
                </c:pt>
                <c:pt idx="138">
                  <c:v>228</c:v>
                </c:pt>
                <c:pt idx="139">
                  <c:v>219</c:v>
                </c:pt>
                <c:pt idx="140">
                  <c:v>189</c:v>
                </c:pt>
                <c:pt idx="141">
                  <c:v>184</c:v>
                </c:pt>
                <c:pt idx="142">
                  <c:v>181</c:v>
                </c:pt>
                <c:pt idx="143">
                  <c:v>174</c:v>
                </c:pt>
                <c:pt idx="144">
                  <c:v>297</c:v>
                </c:pt>
                <c:pt idx="145">
                  <c:v>240</c:v>
                </c:pt>
                <c:pt idx="146">
                  <c:v>224</c:v>
                </c:pt>
                <c:pt idx="147">
                  <c:v>222</c:v>
                </c:pt>
                <c:pt idx="148">
                  <c:v>182</c:v>
                </c:pt>
                <c:pt idx="149">
                  <c:v>258</c:v>
                </c:pt>
                <c:pt idx="150">
                  <c:v>209</c:v>
                </c:pt>
                <c:pt idx="151">
                  <c:v>206</c:v>
                </c:pt>
                <c:pt idx="152">
                  <c:v>202</c:v>
                </c:pt>
                <c:pt idx="153">
                  <c:v>191</c:v>
                </c:pt>
                <c:pt idx="154">
                  <c:v>186</c:v>
                </c:pt>
                <c:pt idx="155">
                  <c:v>78</c:v>
                </c:pt>
                <c:pt idx="156">
                  <c:v>360</c:v>
                </c:pt>
                <c:pt idx="157">
                  <c:v>265</c:v>
                </c:pt>
                <c:pt idx="158">
                  <c:v>259</c:v>
                </c:pt>
                <c:pt idx="159">
                  <c:v>255</c:v>
                </c:pt>
                <c:pt idx="160">
                  <c:v>251</c:v>
                </c:pt>
                <c:pt idx="161">
                  <c:v>237</c:v>
                </c:pt>
                <c:pt idx="162">
                  <c:v>227</c:v>
                </c:pt>
                <c:pt idx="163">
                  <c:v>203</c:v>
                </c:pt>
                <c:pt idx="164">
                  <c:v>84</c:v>
                </c:pt>
                <c:pt idx="165">
                  <c:v>75</c:v>
                </c:pt>
                <c:pt idx="166">
                  <c:v>450</c:v>
                </c:pt>
                <c:pt idx="167">
                  <c:v>308</c:v>
                </c:pt>
                <c:pt idx="168">
                  <c:v>296</c:v>
                </c:pt>
                <c:pt idx="169">
                  <c:v>290</c:v>
                </c:pt>
                <c:pt idx="170">
                  <c:v>280</c:v>
                </c:pt>
                <c:pt idx="171">
                  <c:v>268</c:v>
                </c:pt>
                <c:pt idx="172">
                  <c:v>266</c:v>
                </c:pt>
                <c:pt idx="173">
                  <c:v>230</c:v>
                </c:pt>
                <c:pt idx="174">
                  <c:v>350</c:v>
                </c:pt>
                <c:pt idx="175">
                  <c:v>325</c:v>
                </c:pt>
                <c:pt idx="176">
                  <c:v>320</c:v>
                </c:pt>
                <c:pt idx="177">
                  <c:v>252</c:v>
                </c:pt>
                <c:pt idx="178">
                  <c:v>247</c:v>
                </c:pt>
                <c:pt idx="179">
                  <c:v>239</c:v>
                </c:pt>
                <c:pt idx="180">
                  <c:v>81</c:v>
                </c:pt>
                <c:pt idx="181">
                  <c:v>71</c:v>
                </c:pt>
                <c:pt idx="182">
                  <c:v>69</c:v>
                </c:pt>
                <c:pt idx="183">
                  <c:v>500</c:v>
                </c:pt>
                <c:pt idx="184">
                  <c:v>323</c:v>
                </c:pt>
                <c:pt idx="185">
                  <c:v>304</c:v>
                </c:pt>
                <c:pt idx="186">
                  <c:v>217</c:v>
                </c:pt>
                <c:pt idx="187">
                  <c:v>400</c:v>
                </c:pt>
                <c:pt idx="188">
                  <c:v>359</c:v>
                </c:pt>
                <c:pt idx="189">
                  <c:v>319</c:v>
                </c:pt>
                <c:pt idx="190">
                  <c:v>289</c:v>
                </c:pt>
                <c:pt idx="191">
                  <c:v>276</c:v>
                </c:pt>
                <c:pt idx="192">
                  <c:v>271</c:v>
                </c:pt>
                <c:pt idx="193">
                  <c:v>257</c:v>
                </c:pt>
                <c:pt idx="194">
                  <c:v>232</c:v>
                </c:pt>
                <c:pt idx="195">
                  <c:v>40000</c:v>
                </c:pt>
                <c:pt idx="196">
                  <c:v>380</c:v>
                </c:pt>
                <c:pt idx="197">
                  <c:v>362</c:v>
                </c:pt>
                <c:pt idx="198">
                  <c:v>324</c:v>
                </c:pt>
                <c:pt idx="199">
                  <c:v>288</c:v>
                </c:pt>
                <c:pt idx="200">
                  <c:v>245</c:v>
                </c:pt>
                <c:pt idx="201">
                  <c:v>244</c:v>
                </c:pt>
                <c:pt idx="202">
                  <c:v>231</c:v>
                </c:pt>
                <c:pt idx="203">
                  <c:v>229</c:v>
                </c:pt>
                <c:pt idx="204">
                  <c:v>79</c:v>
                </c:pt>
                <c:pt idx="205">
                  <c:v>74</c:v>
                </c:pt>
                <c:pt idx="206">
                  <c:v>378</c:v>
                </c:pt>
                <c:pt idx="207">
                  <c:v>338</c:v>
                </c:pt>
                <c:pt idx="208">
                  <c:v>312</c:v>
                </c:pt>
                <c:pt idx="209">
                  <c:v>303</c:v>
                </c:pt>
                <c:pt idx="210">
                  <c:v>298</c:v>
                </c:pt>
                <c:pt idx="211">
                  <c:v>287</c:v>
                </c:pt>
                <c:pt idx="212">
                  <c:v>279</c:v>
                </c:pt>
                <c:pt idx="213">
                  <c:v>277</c:v>
                </c:pt>
                <c:pt idx="214">
                  <c:v>261</c:v>
                </c:pt>
                <c:pt idx="215">
                  <c:v>254</c:v>
                </c:pt>
                <c:pt idx="216">
                  <c:v>249</c:v>
                </c:pt>
                <c:pt idx="217">
                  <c:v>236</c:v>
                </c:pt>
                <c:pt idx="218">
                  <c:v>76</c:v>
                </c:pt>
                <c:pt idx="219">
                  <c:v>428</c:v>
                </c:pt>
                <c:pt idx="220">
                  <c:v>372</c:v>
                </c:pt>
                <c:pt idx="221">
                  <c:v>358</c:v>
                </c:pt>
                <c:pt idx="222">
                  <c:v>357</c:v>
                </c:pt>
                <c:pt idx="223">
                  <c:v>321</c:v>
                </c:pt>
                <c:pt idx="224">
                  <c:v>307</c:v>
                </c:pt>
                <c:pt idx="225">
                  <c:v>291</c:v>
                </c:pt>
                <c:pt idx="226">
                  <c:v>281</c:v>
                </c:pt>
                <c:pt idx="227">
                  <c:v>234</c:v>
                </c:pt>
                <c:pt idx="228">
                  <c:v>226</c:v>
                </c:pt>
                <c:pt idx="229">
                  <c:v>495</c:v>
                </c:pt>
                <c:pt idx="230">
                  <c:v>393</c:v>
                </c:pt>
                <c:pt idx="231">
                  <c:v>339</c:v>
                </c:pt>
                <c:pt idx="232">
                  <c:v>332</c:v>
                </c:pt>
                <c:pt idx="233">
                  <c:v>314</c:v>
                </c:pt>
                <c:pt idx="234">
                  <c:v>272</c:v>
                </c:pt>
                <c:pt idx="235">
                  <c:v>355</c:v>
                </c:pt>
                <c:pt idx="236">
                  <c:v>343</c:v>
                </c:pt>
                <c:pt idx="237">
                  <c:v>341</c:v>
                </c:pt>
                <c:pt idx="238">
                  <c:v>327</c:v>
                </c:pt>
                <c:pt idx="239">
                  <c:v>318</c:v>
                </c:pt>
                <c:pt idx="240">
                  <c:v>294</c:v>
                </c:pt>
                <c:pt idx="241">
                  <c:v>283</c:v>
                </c:pt>
                <c:pt idx="242">
                  <c:v>282</c:v>
                </c:pt>
                <c:pt idx="243">
                  <c:v>256</c:v>
                </c:pt>
                <c:pt idx="244">
                  <c:v>246</c:v>
                </c:pt>
                <c:pt idx="245">
                  <c:v>67</c:v>
                </c:pt>
                <c:pt idx="246">
                  <c:v>600</c:v>
                </c:pt>
                <c:pt idx="247">
                  <c:v>540</c:v>
                </c:pt>
                <c:pt idx="248">
                  <c:v>512</c:v>
                </c:pt>
                <c:pt idx="249">
                  <c:v>431</c:v>
                </c:pt>
                <c:pt idx="250">
                  <c:v>336</c:v>
                </c:pt>
                <c:pt idx="251">
                  <c:v>335</c:v>
                </c:pt>
                <c:pt idx="252">
                  <c:v>330</c:v>
                </c:pt>
                <c:pt idx="253">
                  <c:v>328</c:v>
                </c:pt>
                <c:pt idx="254">
                  <c:v>317</c:v>
                </c:pt>
                <c:pt idx="255">
                  <c:v>310</c:v>
                </c:pt>
                <c:pt idx="256">
                  <c:v>305</c:v>
                </c:pt>
                <c:pt idx="257">
                  <c:v>286</c:v>
                </c:pt>
                <c:pt idx="258">
                  <c:v>284</c:v>
                </c:pt>
                <c:pt idx="259">
                  <c:v>278</c:v>
                </c:pt>
                <c:pt idx="260">
                  <c:v>267</c:v>
                </c:pt>
                <c:pt idx="261">
                  <c:v>73</c:v>
                </c:pt>
                <c:pt idx="262">
                  <c:v>66</c:v>
                </c:pt>
                <c:pt idx="263">
                  <c:v>65</c:v>
                </c:pt>
                <c:pt idx="264">
                  <c:v>469</c:v>
                </c:pt>
                <c:pt idx="265">
                  <c:v>463</c:v>
                </c:pt>
                <c:pt idx="266">
                  <c:v>427</c:v>
                </c:pt>
                <c:pt idx="267">
                  <c:v>392</c:v>
                </c:pt>
                <c:pt idx="268">
                  <c:v>388</c:v>
                </c:pt>
                <c:pt idx="269">
                  <c:v>384</c:v>
                </c:pt>
                <c:pt idx="270">
                  <c:v>383</c:v>
                </c:pt>
                <c:pt idx="271">
                  <c:v>381</c:v>
                </c:pt>
                <c:pt idx="272">
                  <c:v>376</c:v>
                </c:pt>
                <c:pt idx="273">
                  <c:v>370</c:v>
                </c:pt>
                <c:pt idx="274">
                  <c:v>361</c:v>
                </c:pt>
                <c:pt idx="275">
                  <c:v>356</c:v>
                </c:pt>
                <c:pt idx="276">
                  <c:v>345</c:v>
                </c:pt>
                <c:pt idx="277">
                  <c:v>340</c:v>
                </c:pt>
                <c:pt idx="278">
                  <c:v>316</c:v>
                </c:pt>
                <c:pt idx="279">
                  <c:v>301</c:v>
                </c:pt>
                <c:pt idx="280">
                  <c:v>650</c:v>
                </c:pt>
                <c:pt idx="281">
                  <c:v>64</c:v>
                </c:pt>
                <c:pt idx="282">
                  <c:v>587</c:v>
                </c:pt>
                <c:pt idx="283">
                  <c:v>550</c:v>
                </c:pt>
                <c:pt idx="284">
                  <c:v>525</c:v>
                </c:pt>
                <c:pt idx="285">
                  <c:v>444</c:v>
                </c:pt>
                <c:pt idx="286">
                  <c:v>408</c:v>
                </c:pt>
                <c:pt idx="287">
                  <c:v>407</c:v>
                </c:pt>
                <c:pt idx="288">
                  <c:v>397</c:v>
                </c:pt>
                <c:pt idx="289">
                  <c:v>394</c:v>
                </c:pt>
                <c:pt idx="290">
                  <c:v>390</c:v>
                </c:pt>
                <c:pt idx="291">
                  <c:v>379</c:v>
                </c:pt>
                <c:pt idx="292">
                  <c:v>375</c:v>
                </c:pt>
                <c:pt idx="293">
                  <c:v>373</c:v>
                </c:pt>
                <c:pt idx="294">
                  <c:v>366</c:v>
                </c:pt>
                <c:pt idx="295">
                  <c:v>363</c:v>
                </c:pt>
                <c:pt idx="296">
                  <c:v>354</c:v>
                </c:pt>
                <c:pt idx="297">
                  <c:v>353</c:v>
                </c:pt>
                <c:pt idx="298">
                  <c:v>351</c:v>
                </c:pt>
                <c:pt idx="299">
                  <c:v>349</c:v>
                </c:pt>
                <c:pt idx="300">
                  <c:v>344</c:v>
                </c:pt>
                <c:pt idx="301">
                  <c:v>342</c:v>
                </c:pt>
                <c:pt idx="302">
                  <c:v>333</c:v>
                </c:pt>
                <c:pt idx="303">
                  <c:v>313</c:v>
                </c:pt>
                <c:pt idx="304">
                  <c:v>309</c:v>
                </c:pt>
                <c:pt idx="305">
                  <c:v>302</c:v>
                </c:pt>
                <c:pt idx="306">
                  <c:v>264</c:v>
                </c:pt>
                <c:pt idx="307">
                  <c:v>900</c:v>
                </c:pt>
                <c:pt idx="308">
                  <c:v>850</c:v>
                </c:pt>
                <c:pt idx="309">
                  <c:v>720</c:v>
                </c:pt>
                <c:pt idx="310">
                  <c:v>68</c:v>
                </c:pt>
                <c:pt idx="311">
                  <c:v>61</c:v>
                </c:pt>
                <c:pt idx="312">
                  <c:v>59</c:v>
                </c:pt>
                <c:pt idx="313">
                  <c:v>521</c:v>
                </c:pt>
                <c:pt idx="314">
                  <c:v>503</c:v>
                </c:pt>
                <c:pt idx="315">
                  <c:v>50000</c:v>
                </c:pt>
                <c:pt idx="316">
                  <c:v>489</c:v>
                </c:pt>
                <c:pt idx="317">
                  <c:v>486</c:v>
                </c:pt>
                <c:pt idx="318">
                  <c:v>481</c:v>
                </c:pt>
                <c:pt idx="319">
                  <c:v>480</c:v>
                </c:pt>
                <c:pt idx="320">
                  <c:v>464</c:v>
                </c:pt>
                <c:pt idx="321">
                  <c:v>449</c:v>
                </c:pt>
                <c:pt idx="322">
                  <c:v>443</c:v>
                </c:pt>
                <c:pt idx="323">
                  <c:v>442</c:v>
                </c:pt>
                <c:pt idx="324">
                  <c:v>433</c:v>
                </c:pt>
                <c:pt idx="325">
                  <c:v>416</c:v>
                </c:pt>
                <c:pt idx="326">
                  <c:v>414</c:v>
                </c:pt>
                <c:pt idx="327">
                  <c:v>402</c:v>
                </c:pt>
                <c:pt idx="328">
                  <c:v>396</c:v>
                </c:pt>
                <c:pt idx="329">
                  <c:v>386</c:v>
                </c:pt>
                <c:pt idx="330">
                  <c:v>368</c:v>
                </c:pt>
                <c:pt idx="331">
                  <c:v>334</c:v>
                </c:pt>
                <c:pt idx="332">
                  <c:v>331</c:v>
                </c:pt>
                <c:pt idx="333">
                  <c:v>329</c:v>
                </c:pt>
                <c:pt idx="334">
                  <c:v>311</c:v>
                </c:pt>
                <c:pt idx="335">
                  <c:v>306</c:v>
                </c:pt>
                <c:pt idx="336">
                  <c:v>639</c:v>
                </c:pt>
                <c:pt idx="337">
                  <c:v>589</c:v>
                </c:pt>
                <c:pt idx="338">
                  <c:v>585</c:v>
                </c:pt>
                <c:pt idx="339">
                  <c:v>571</c:v>
                </c:pt>
                <c:pt idx="340">
                  <c:v>555</c:v>
                </c:pt>
                <c:pt idx="341">
                  <c:v>549</c:v>
                </c:pt>
                <c:pt idx="342">
                  <c:v>537</c:v>
                </c:pt>
                <c:pt idx="343">
                  <c:v>468</c:v>
                </c:pt>
                <c:pt idx="344">
                  <c:v>466</c:v>
                </c:pt>
                <c:pt idx="345">
                  <c:v>457</c:v>
                </c:pt>
                <c:pt idx="346">
                  <c:v>455</c:v>
                </c:pt>
                <c:pt idx="347">
                  <c:v>453</c:v>
                </c:pt>
                <c:pt idx="348">
                  <c:v>452</c:v>
                </c:pt>
                <c:pt idx="349">
                  <c:v>448</c:v>
                </c:pt>
                <c:pt idx="350">
                  <c:v>447</c:v>
                </c:pt>
                <c:pt idx="351">
                  <c:v>446</c:v>
                </c:pt>
                <c:pt idx="352">
                  <c:v>439</c:v>
                </c:pt>
                <c:pt idx="353">
                  <c:v>437</c:v>
                </c:pt>
                <c:pt idx="354">
                  <c:v>419</c:v>
                </c:pt>
                <c:pt idx="355">
                  <c:v>415</c:v>
                </c:pt>
                <c:pt idx="356">
                  <c:v>411</c:v>
                </c:pt>
                <c:pt idx="357">
                  <c:v>410</c:v>
                </c:pt>
                <c:pt idx="358">
                  <c:v>409</c:v>
                </c:pt>
                <c:pt idx="359">
                  <c:v>387</c:v>
                </c:pt>
                <c:pt idx="360">
                  <c:v>385</c:v>
                </c:pt>
                <c:pt idx="361">
                  <c:v>369</c:v>
                </c:pt>
                <c:pt idx="362">
                  <c:v>364</c:v>
                </c:pt>
                <c:pt idx="363">
                  <c:v>348</c:v>
                </c:pt>
                <c:pt idx="364">
                  <c:v>346</c:v>
                </c:pt>
                <c:pt idx="365">
                  <c:v>326</c:v>
                </c:pt>
                <c:pt idx="366">
                  <c:v>975</c:v>
                </c:pt>
                <c:pt idx="367">
                  <c:v>950</c:v>
                </c:pt>
                <c:pt idx="368">
                  <c:v>787</c:v>
                </c:pt>
                <c:pt idx="369">
                  <c:v>765</c:v>
                </c:pt>
                <c:pt idx="370">
                  <c:v>750</c:v>
                </c:pt>
                <c:pt idx="371">
                  <c:v>734</c:v>
                </c:pt>
                <c:pt idx="372">
                  <c:v>630</c:v>
                </c:pt>
                <c:pt idx="373">
                  <c:v>63</c:v>
                </c:pt>
                <c:pt idx="374">
                  <c:v>623</c:v>
                </c:pt>
                <c:pt idx="375">
                  <c:v>620</c:v>
                </c:pt>
                <c:pt idx="376">
                  <c:v>62</c:v>
                </c:pt>
                <c:pt idx="377">
                  <c:v>598</c:v>
                </c:pt>
                <c:pt idx="378">
                  <c:v>595</c:v>
                </c:pt>
                <c:pt idx="379">
                  <c:v>572</c:v>
                </c:pt>
                <c:pt idx="380">
                  <c:v>565</c:v>
                </c:pt>
                <c:pt idx="381">
                  <c:v>553</c:v>
                </c:pt>
                <c:pt idx="382">
                  <c:v>532</c:v>
                </c:pt>
                <c:pt idx="383">
                  <c:v>523</c:v>
                </c:pt>
                <c:pt idx="384">
                  <c:v>514</c:v>
                </c:pt>
                <c:pt idx="385">
                  <c:v>497</c:v>
                </c:pt>
                <c:pt idx="386">
                  <c:v>494</c:v>
                </c:pt>
                <c:pt idx="387">
                  <c:v>493</c:v>
                </c:pt>
                <c:pt idx="388">
                  <c:v>482</c:v>
                </c:pt>
                <c:pt idx="389">
                  <c:v>479</c:v>
                </c:pt>
                <c:pt idx="390">
                  <c:v>476</c:v>
                </c:pt>
                <c:pt idx="391">
                  <c:v>471</c:v>
                </c:pt>
                <c:pt idx="392">
                  <c:v>451</c:v>
                </c:pt>
                <c:pt idx="393">
                  <c:v>441</c:v>
                </c:pt>
                <c:pt idx="394">
                  <c:v>440</c:v>
                </c:pt>
                <c:pt idx="395">
                  <c:v>430</c:v>
                </c:pt>
                <c:pt idx="396">
                  <c:v>429</c:v>
                </c:pt>
                <c:pt idx="397">
                  <c:v>426</c:v>
                </c:pt>
                <c:pt idx="398">
                  <c:v>425</c:v>
                </c:pt>
                <c:pt idx="399">
                  <c:v>418</c:v>
                </c:pt>
                <c:pt idx="400">
                  <c:v>413</c:v>
                </c:pt>
                <c:pt idx="401">
                  <c:v>412</c:v>
                </c:pt>
                <c:pt idx="402">
                  <c:v>406</c:v>
                </c:pt>
                <c:pt idx="403">
                  <c:v>405</c:v>
                </c:pt>
                <c:pt idx="404">
                  <c:v>398</c:v>
                </c:pt>
                <c:pt idx="405">
                  <c:v>389</c:v>
                </c:pt>
                <c:pt idx="406">
                  <c:v>371</c:v>
                </c:pt>
                <c:pt idx="407">
                  <c:v>365</c:v>
                </c:pt>
                <c:pt idx="408">
                  <c:v>337</c:v>
                </c:pt>
                <c:pt idx="409">
                  <c:v>831</c:v>
                </c:pt>
                <c:pt idx="410">
                  <c:v>830</c:v>
                </c:pt>
                <c:pt idx="411">
                  <c:v>801</c:v>
                </c:pt>
                <c:pt idx="412">
                  <c:v>800</c:v>
                </c:pt>
                <c:pt idx="413">
                  <c:v>760</c:v>
                </c:pt>
                <c:pt idx="414">
                  <c:v>748</c:v>
                </c:pt>
                <c:pt idx="415">
                  <c:v>711</c:v>
                </c:pt>
                <c:pt idx="416">
                  <c:v>686</c:v>
                </c:pt>
                <c:pt idx="417">
                  <c:v>680</c:v>
                </c:pt>
                <c:pt idx="418">
                  <c:v>657</c:v>
                </c:pt>
                <c:pt idx="419">
                  <c:v>645</c:v>
                </c:pt>
                <c:pt idx="420">
                  <c:v>640</c:v>
                </c:pt>
                <c:pt idx="421">
                  <c:v>631</c:v>
                </c:pt>
                <c:pt idx="422">
                  <c:v>588</c:v>
                </c:pt>
                <c:pt idx="423">
                  <c:v>569</c:v>
                </c:pt>
                <c:pt idx="424">
                  <c:v>552</c:v>
                </c:pt>
                <c:pt idx="425">
                  <c:v>54</c:v>
                </c:pt>
                <c:pt idx="426">
                  <c:v>535</c:v>
                </c:pt>
                <c:pt idx="427">
                  <c:v>515</c:v>
                </c:pt>
                <c:pt idx="428">
                  <c:v>506</c:v>
                </c:pt>
                <c:pt idx="429">
                  <c:v>505</c:v>
                </c:pt>
                <c:pt idx="430">
                  <c:v>502</c:v>
                </c:pt>
                <c:pt idx="431">
                  <c:v>501</c:v>
                </c:pt>
                <c:pt idx="432">
                  <c:v>485</c:v>
                </c:pt>
                <c:pt idx="433">
                  <c:v>483</c:v>
                </c:pt>
                <c:pt idx="434">
                  <c:v>475</c:v>
                </c:pt>
                <c:pt idx="435">
                  <c:v>461</c:v>
                </c:pt>
                <c:pt idx="436">
                  <c:v>460</c:v>
                </c:pt>
                <c:pt idx="437">
                  <c:v>438</c:v>
                </c:pt>
                <c:pt idx="438">
                  <c:v>436</c:v>
                </c:pt>
                <c:pt idx="439">
                  <c:v>435</c:v>
                </c:pt>
                <c:pt idx="440">
                  <c:v>434</c:v>
                </c:pt>
                <c:pt idx="441">
                  <c:v>424</c:v>
                </c:pt>
                <c:pt idx="442">
                  <c:v>422</c:v>
                </c:pt>
                <c:pt idx="443">
                  <c:v>417</c:v>
                </c:pt>
                <c:pt idx="444">
                  <c:v>382</c:v>
                </c:pt>
                <c:pt idx="445">
                  <c:v>374</c:v>
                </c:pt>
                <c:pt idx="446">
                  <c:v>1500</c:v>
                </c:pt>
                <c:pt idx="447">
                  <c:v>919</c:v>
                </c:pt>
                <c:pt idx="448">
                  <c:v>899</c:v>
                </c:pt>
                <c:pt idx="449">
                  <c:v>880</c:v>
                </c:pt>
                <c:pt idx="450">
                  <c:v>872</c:v>
                </c:pt>
                <c:pt idx="451">
                  <c:v>856</c:v>
                </c:pt>
                <c:pt idx="452">
                  <c:v>852</c:v>
                </c:pt>
                <c:pt idx="453">
                  <c:v>844</c:v>
                </c:pt>
                <c:pt idx="454">
                  <c:v>836</c:v>
                </c:pt>
                <c:pt idx="455">
                  <c:v>834</c:v>
                </c:pt>
                <c:pt idx="456">
                  <c:v>825</c:v>
                </c:pt>
                <c:pt idx="457">
                  <c:v>799</c:v>
                </c:pt>
                <c:pt idx="458">
                  <c:v>778</c:v>
                </c:pt>
                <c:pt idx="459">
                  <c:v>776</c:v>
                </c:pt>
                <c:pt idx="460">
                  <c:v>741</c:v>
                </c:pt>
                <c:pt idx="461">
                  <c:v>723</c:v>
                </c:pt>
                <c:pt idx="462">
                  <c:v>710</c:v>
                </c:pt>
                <c:pt idx="463">
                  <c:v>707</c:v>
                </c:pt>
                <c:pt idx="464">
                  <c:v>705</c:v>
                </c:pt>
                <c:pt idx="465">
                  <c:v>700</c:v>
                </c:pt>
                <c:pt idx="466">
                  <c:v>699</c:v>
                </c:pt>
                <c:pt idx="467">
                  <c:v>695</c:v>
                </c:pt>
                <c:pt idx="468">
                  <c:v>694</c:v>
                </c:pt>
                <c:pt idx="469">
                  <c:v>692</c:v>
                </c:pt>
                <c:pt idx="470">
                  <c:v>682</c:v>
                </c:pt>
                <c:pt idx="471">
                  <c:v>675</c:v>
                </c:pt>
                <c:pt idx="472">
                  <c:v>674</c:v>
                </c:pt>
                <c:pt idx="473">
                  <c:v>672</c:v>
                </c:pt>
                <c:pt idx="474">
                  <c:v>668</c:v>
                </c:pt>
                <c:pt idx="475">
                  <c:v>667</c:v>
                </c:pt>
                <c:pt idx="476">
                  <c:v>665</c:v>
                </c:pt>
                <c:pt idx="477">
                  <c:v>651</c:v>
                </c:pt>
                <c:pt idx="478">
                  <c:v>649</c:v>
                </c:pt>
                <c:pt idx="479">
                  <c:v>648</c:v>
                </c:pt>
                <c:pt idx="480">
                  <c:v>637</c:v>
                </c:pt>
                <c:pt idx="481">
                  <c:v>636</c:v>
                </c:pt>
                <c:pt idx="482">
                  <c:v>634</c:v>
                </c:pt>
                <c:pt idx="483">
                  <c:v>633</c:v>
                </c:pt>
                <c:pt idx="484">
                  <c:v>628</c:v>
                </c:pt>
                <c:pt idx="485">
                  <c:v>625</c:v>
                </c:pt>
                <c:pt idx="486">
                  <c:v>616</c:v>
                </c:pt>
                <c:pt idx="487">
                  <c:v>609</c:v>
                </c:pt>
                <c:pt idx="488">
                  <c:v>603</c:v>
                </c:pt>
                <c:pt idx="489">
                  <c:v>601</c:v>
                </c:pt>
                <c:pt idx="490">
                  <c:v>60</c:v>
                </c:pt>
                <c:pt idx="491">
                  <c:v>599</c:v>
                </c:pt>
                <c:pt idx="492">
                  <c:v>594</c:v>
                </c:pt>
                <c:pt idx="493">
                  <c:v>591</c:v>
                </c:pt>
                <c:pt idx="494">
                  <c:v>584</c:v>
                </c:pt>
                <c:pt idx="495">
                  <c:v>579</c:v>
                </c:pt>
                <c:pt idx="496">
                  <c:v>578</c:v>
                </c:pt>
                <c:pt idx="497">
                  <c:v>570</c:v>
                </c:pt>
                <c:pt idx="498">
                  <c:v>566</c:v>
                </c:pt>
                <c:pt idx="499">
                  <c:v>564</c:v>
                </c:pt>
                <c:pt idx="500">
                  <c:v>554</c:v>
                </c:pt>
                <c:pt idx="501">
                  <c:v>547</c:v>
                </c:pt>
                <c:pt idx="502">
                  <c:v>546</c:v>
                </c:pt>
                <c:pt idx="503">
                  <c:v>544</c:v>
                </c:pt>
                <c:pt idx="504">
                  <c:v>543</c:v>
                </c:pt>
                <c:pt idx="505">
                  <c:v>538</c:v>
                </c:pt>
                <c:pt idx="506">
                  <c:v>536</c:v>
                </c:pt>
                <c:pt idx="507">
                  <c:v>530</c:v>
                </c:pt>
                <c:pt idx="508">
                  <c:v>529</c:v>
                </c:pt>
                <c:pt idx="509">
                  <c:v>528</c:v>
                </c:pt>
                <c:pt idx="510">
                  <c:v>526</c:v>
                </c:pt>
                <c:pt idx="511">
                  <c:v>520</c:v>
                </c:pt>
                <c:pt idx="512">
                  <c:v>518</c:v>
                </c:pt>
                <c:pt idx="513">
                  <c:v>511</c:v>
                </c:pt>
                <c:pt idx="514">
                  <c:v>510</c:v>
                </c:pt>
                <c:pt idx="515">
                  <c:v>504</c:v>
                </c:pt>
                <c:pt idx="516">
                  <c:v>490</c:v>
                </c:pt>
                <c:pt idx="517">
                  <c:v>488</c:v>
                </c:pt>
                <c:pt idx="518">
                  <c:v>484</c:v>
                </c:pt>
                <c:pt idx="519">
                  <c:v>477</c:v>
                </c:pt>
                <c:pt idx="520">
                  <c:v>474</c:v>
                </c:pt>
                <c:pt idx="521">
                  <c:v>470</c:v>
                </c:pt>
                <c:pt idx="522">
                  <c:v>467</c:v>
                </c:pt>
                <c:pt idx="523">
                  <c:v>465</c:v>
                </c:pt>
                <c:pt idx="524">
                  <c:v>462</c:v>
                </c:pt>
                <c:pt idx="525">
                  <c:v>459</c:v>
                </c:pt>
                <c:pt idx="526">
                  <c:v>458</c:v>
                </c:pt>
                <c:pt idx="527">
                  <c:v>445</c:v>
                </c:pt>
                <c:pt idx="528">
                  <c:v>432</c:v>
                </c:pt>
                <c:pt idx="529">
                  <c:v>423</c:v>
                </c:pt>
                <c:pt idx="530">
                  <c:v>421</c:v>
                </c:pt>
                <c:pt idx="531">
                  <c:v>420</c:v>
                </c:pt>
                <c:pt idx="532">
                  <c:v>403</c:v>
                </c:pt>
                <c:pt idx="533">
                  <c:v>395</c:v>
                </c:pt>
                <c:pt idx="534">
                  <c:v>377</c:v>
                </c:pt>
                <c:pt idx="535">
                  <c:v>998</c:v>
                </c:pt>
                <c:pt idx="536">
                  <c:v>992</c:v>
                </c:pt>
                <c:pt idx="537">
                  <c:v>990</c:v>
                </c:pt>
                <c:pt idx="538">
                  <c:v>988</c:v>
                </c:pt>
                <c:pt idx="539">
                  <c:v>979</c:v>
                </c:pt>
                <c:pt idx="540">
                  <c:v>970</c:v>
                </c:pt>
                <c:pt idx="541">
                  <c:v>968</c:v>
                </c:pt>
                <c:pt idx="542">
                  <c:v>963</c:v>
                </c:pt>
                <c:pt idx="543">
                  <c:v>949</c:v>
                </c:pt>
                <c:pt idx="544">
                  <c:v>948</c:v>
                </c:pt>
                <c:pt idx="545">
                  <c:v>942</c:v>
                </c:pt>
                <c:pt idx="546">
                  <c:v>929</c:v>
                </c:pt>
                <c:pt idx="547">
                  <c:v>920</c:v>
                </c:pt>
                <c:pt idx="548">
                  <c:v>917</c:v>
                </c:pt>
                <c:pt idx="549">
                  <c:v>913</c:v>
                </c:pt>
                <c:pt idx="550">
                  <c:v>908</c:v>
                </c:pt>
                <c:pt idx="551">
                  <c:v>904</c:v>
                </c:pt>
                <c:pt idx="552">
                  <c:v>878</c:v>
                </c:pt>
                <c:pt idx="553">
                  <c:v>877</c:v>
                </c:pt>
                <c:pt idx="554">
                  <c:v>875</c:v>
                </c:pt>
                <c:pt idx="555">
                  <c:v>874</c:v>
                </c:pt>
                <c:pt idx="556">
                  <c:v>861</c:v>
                </c:pt>
                <c:pt idx="557">
                  <c:v>839</c:v>
                </c:pt>
                <c:pt idx="558">
                  <c:v>838</c:v>
                </c:pt>
                <c:pt idx="559">
                  <c:v>826</c:v>
                </c:pt>
                <c:pt idx="560">
                  <c:v>824</c:v>
                </c:pt>
                <c:pt idx="561">
                  <c:v>822</c:v>
                </c:pt>
                <c:pt idx="562">
                  <c:v>816</c:v>
                </c:pt>
                <c:pt idx="563">
                  <c:v>798</c:v>
                </c:pt>
                <c:pt idx="564">
                  <c:v>789</c:v>
                </c:pt>
                <c:pt idx="565">
                  <c:v>788</c:v>
                </c:pt>
                <c:pt idx="566">
                  <c:v>783</c:v>
                </c:pt>
                <c:pt idx="567">
                  <c:v>781</c:v>
                </c:pt>
                <c:pt idx="568">
                  <c:v>770</c:v>
                </c:pt>
                <c:pt idx="569">
                  <c:v>758</c:v>
                </c:pt>
                <c:pt idx="570">
                  <c:v>757</c:v>
                </c:pt>
                <c:pt idx="571">
                  <c:v>754</c:v>
                </c:pt>
                <c:pt idx="572">
                  <c:v>751</c:v>
                </c:pt>
                <c:pt idx="573">
                  <c:v>745</c:v>
                </c:pt>
                <c:pt idx="574">
                  <c:v>744</c:v>
                </c:pt>
                <c:pt idx="575">
                  <c:v>742</c:v>
                </c:pt>
                <c:pt idx="576">
                  <c:v>739</c:v>
                </c:pt>
                <c:pt idx="577">
                  <c:v>729</c:v>
                </c:pt>
                <c:pt idx="578">
                  <c:v>728</c:v>
                </c:pt>
                <c:pt idx="579">
                  <c:v>725</c:v>
                </c:pt>
                <c:pt idx="580">
                  <c:v>722</c:v>
                </c:pt>
                <c:pt idx="581">
                  <c:v>717</c:v>
                </c:pt>
                <c:pt idx="582">
                  <c:v>712</c:v>
                </c:pt>
                <c:pt idx="583">
                  <c:v>709</c:v>
                </c:pt>
                <c:pt idx="584">
                  <c:v>706</c:v>
                </c:pt>
                <c:pt idx="585">
                  <c:v>704</c:v>
                </c:pt>
                <c:pt idx="586">
                  <c:v>693</c:v>
                </c:pt>
                <c:pt idx="587">
                  <c:v>688</c:v>
                </c:pt>
                <c:pt idx="588">
                  <c:v>681</c:v>
                </c:pt>
                <c:pt idx="589">
                  <c:v>671</c:v>
                </c:pt>
                <c:pt idx="590">
                  <c:v>670</c:v>
                </c:pt>
                <c:pt idx="591">
                  <c:v>669</c:v>
                </c:pt>
                <c:pt idx="592">
                  <c:v>666</c:v>
                </c:pt>
                <c:pt idx="593">
                  <c:v>660</c:v>
                </c:pt>
                <c:pt idx="594">
                  <c:v>658</c:v>
                </c:pt>
                <c:pt idx="595">
                  <c:v>646</c:v>
                </c:pt>
                <c:pt idx="596">
                  <c:v>643</c:v>
                </c:pt>
                <c:pt idx="597">
                  <c:v>638</c:v>
                </c:pt>
                <c:pt idx="598">
                  <c:v>629</c:v>
                </c:pt>
                <c:pt idx="599">
                  <c:v>626</c:v>
                </c:pt>
                <c:pt idx="600">
                  <c:v>619</c:v>
                </c:pt>
                <c:pt idx="601">
                  <c:v>618</c:v>
                </c:pt>
                <c:pt idx="602">
                  <c:v>617</c:v>
                </c:pt>
                <c:pt idx="603">
                  <c:v>612</c:v>
                </c:pt>
                <c:pt idx="604">
                  <c:v>611</c:v>
                </c:pt>
                <c:pt idx="605">
                  <c:v>608</c:v>
                </c:pt>
                <c:pt idx="606">
                  <c:v>607</c:v>
                </c:pt>
                <c:pt idx="607">
                  <c:v>606</c:v>
                </c:pt>
                <c:pt idx="608">
                  <c:v>604</c:v>
                </c:pt>
                <c:pt idx="609">
                  <c:v>602</c:v>
                </c:pt>
                <c:pt idx="610">
                  <c:v>597</c:v>
                </c:pt>
                <c:pt idx="611">
                  <c:v>583</c:v>
                </c:pt>
                <c:pt idx="612">
                  <c:v>58</c:v>
                </c:pt>
                <c:pt idx="613">
                  <c:v>575</c:v>
                </c:pt>
                <c:pt idx="614">
                  <c:v>568</c:v>
                </c:pt>
                <c:pt idx="615">
                  <c:v>563</c:v>
                </c:pt>
                <c:pt idx="616">
                  <c:v>560</c:v>
                </c:pt>
                <c:pt idx="617">
                  <c:v>56</c:v>
                </c:pt>
                <c:pt idx="618">
                  <c:v>559</c:v>
                </c:pt>
                <c:pt idx="619">
                  <c:v>557</c:v>
                </c:pt>
                <c:pt idx="620">
                  <c:v>556</c:v>
                </c:pt>
                <c:pt idx="621">
                  <c:v>551</c:v>
                </c:pt>
                <c:pt idx="622">
                  <c:v>55</c:v>
                </c:pt>
                <c:pt idx="623">
                  <c:v>548</c:v>
                </c:pt>
                <c:pt idx="624">
                  <c:v>542</c:v>
                </c:pt>
                <c:pt idx="625">
                  <c:v>541</c:v>
                </c:pt>
                <c:pt idx="626">
                  <c:v>539</c:v>
                </c:pt>
                <c:pt idx="627">
                  <c:v>531</c:v>
                </c:pt>
                <c:pt idx="628">
                  <c:v>527</c:v>
                </c:pt>
                <c:pt idx="629">
                  <c:v>524</c:v>
                </c:pt>
                <c:pt idx="630">
                  <c:v>522</c:v>
                </c:pt>
                <c:pt idx="631">
                  <c:v>516</c:v>
                </c:pt>
                <c:pt idx="632">
                  <c:v>513</c:v>
                </c:pt>
                <c:pt idx="633">
                  <c:v>51</c:v>
                </c:pt>
                <c:pt idx="634">
                  <c:v>508</c:v>
                </c:pt>
                <c:pt idx="635">
                  <c:v>507</c:v>
                </c:pt>
                <c:pt idx="636">
                  <c:v>499</c:v>
                </c:pt>
                <c:pt idx="637">
                  <c:v>498</c:v>
                </c:pt>
                <c:pt idx="638">
                  <c:v>496</c:v>
                </c:pt>
                <c:pt idx="639">
                  <c:v>478</c:v>
                </c:pt>
                <c:pt idx="640">
                  <c:v>473</c:v>
                </c:pt>
                <c:pt idx="641">
                  <c:v>456</c:v>
                </c:pt>
                <c:pt idx="642">
                  <c:v>454</c:v>
                </c:pt>
                <c:pt idx="643">
                  <c:v>404</c:v>
                </c:pt>
                <c:pt idx="644">
                  <c:v>401</c:v>
                </c:pt>
                <c:pt idx="645">
                  <c:v>391</c:v>
                </c:pt>
                <c:pt idx="646">
                  <c:v>2700</c:v>
                </c:pt>
                <c:pt idx="647">
                  <c:v>2250</c:v>
                </c:pt>
                <c:pt idx="648">
                  <c:v>2000</c:v>
                </c:pt>
                <c:pt idx="649">
                  <c:v>1913</c:v>
                </c:pt>
                <c:pt idx="650">
                  <c:v>1800</c:v>
                </c:pt>
                <c:pt idx="651">
                  <c:v>1714</c:v>
                </c:pt>
                <c:pt idx="652">
                  <c:v>1484</c:v>
                </c:pt>
                <c:pt idx="653">
                  <c:v>1271</c:v>
                </c:pt>
                <c:pt idx="654">
                  <c:v>1260</c:v>
                </c:pt>
                <c:pt idx="655">
                  <c:v>1230</c:v>
                </c:pt>
                <c:pt idx="656">
                  <c:v>1161</c:v>
                </c:pt>
                <c:pt idx="657">
                  <c:v>1138</c:v>
                </c:pt>
                <c:pt idx="658">
                  <c:v>1093</c:v>
                </c:pt>
                <c:pt idx="659">
                  <c:v>999</c:v>
                </c:pt>
                <c:pt idx="660">
                  <c:v>995</c:v>
                </c:pt>
                <c:pt idx="661">
                  <c:v>989</c:v>
                </c:pt>
                <c:pt idx="662">
                  <c:v>986</c:v>
                </c:pt>
                <c:pt idx="663">
                  <c:v>985</c:v>
                </c:pt>
                <c:pt idx="664">
                  <c:v>984</c:v>
                </c:pt>
                <c:pt idx="665">
                  <c:v>978</c:v>
                </c:pt>
                <c:pt idx="666">
                  <c:v>974</c:v>
                </c:pt>
                <c:pt idx="667">
                  <c:v>971</c:v>
                </c:pt>
                <c:pt idx="668">
                  <c:v>969</c:v>
                </c:pt>
                <c:pt idx="669">
                  <c:v>967</c:v>
                </c:pt>
                <c:pt idx="670">
                  <c:v>966</c:v>
                </c:pt>
                <c:pt idx="671">
                  <c:v>957</c:v>
                </c:pt>
                <c:pt idx="672">
                  <c:v>956</c:v>
                </c:pt>
                <c:pt idx="673">
                  <c:v>955</c:v>
                </c:pt>
                <c:pt idx="674">
                  <c:v>946</c:v>
                </c:pt>
                <c:pt idx="675">
                  <c:v>936</c:v>
                </c:pt>
                <c:pt idx="676">
                  <c:v>935</c:v>
                </c:pt>
                <c:pt idx="677">
                  <c:v>932</c:v>
                </c:pt>
                <c:pt idx="678">
                  <c:v>927</c:v>
                </c:pt>
                <c:pt idx="679">
                  <c:v>925</c:v>
                </c:pt>
                <c:pt idx="680">
                  <c:v>923</c:v>
                </c:pt>
                <c:pt idx="681">
                  <c:v>922</c:v>
                </c:pt>
                <c:pt idx="682">
                  <c:v>918</c:v>
                </c:pt>
                <c:pt idx="683">
                  <c:v>911</c:v>
                </c:pt>
                <c:pt idx="684">
                  <c:v>906</c:v>
                </c:pt>
                <c:pt idx="685">
                  <c:v>905</c:v>
                </c:pt>
                <c:pt idx="686">
                  <c:v>902</c:v>
                </c:pt>
                <c:pt idx="687">
                  <c:v>9706</c:v>
                </c:pt>
                <c:pt idx="688">
                  <c:v>898</c:v>
                </c:pt>
                <c:pt idx="689">
                  <c:v>895</c:v>
                </c:pt>
                <c:pt idx="690">
                  <c:v>892</c:v>
                </c:pt>
                <c:pt idx="691">
                  <c:v>885</c:v>
                </c:pt>
                <c:pt idx="692">
                  <c:v>884</c:v>
                </c:pt>
                <c:pt idx="693">
                  <c:v>882</c:v>
                </c:pt>
                <c:pt idx="694">
                  <c:v>873</c:v>
                </c:pt>
                <c:pt idx="695">
                  <c:v>871</c:v>
                </c:pt>
                <c:pt idx="696">
                  <c:v>869</c:v>
                </c:pt>
                <c:pt idx="697">
                  <c:v>867</c:v>
                </c:pt>
                <c:pt idx="698">
                  <c:v>864</c:v>
                </c:pt>
                <c:pt idx="699">
                  <c:v>862</c:v>
                </c:pt>
                <c:pt idx="700">
                  <c:v>854</c:v>
                </c:pt>
                <c:pt idx="701">
                  <c:v>849</c:v>
                </c:pt>
                <c:pt idx="702">
                  <c:v>848</c:v>
                </c:pt>
                <c:pt idx="703">
                  <c:v>846</c:v>
                </c:pt>
                <c:pt idx="704">
                  <c:v>845</c:v>
                </c:pt>
                <c:pt idx="705">
                  <c:v>840</c:v>
                </c:pt>
                <c:pt idx="706">
                  <c:v>837</c:v>
                </c:pt>
                <c:pt idx="707">
                  <c:v>835</c:v>
                </c:pt>
                <c:pt idx="708">
                  <c:v>832</c:v>
                </c:pt>
                <c:pt idx="709">
                  <c:v>829</c:v>
                </c:pt>
                <c:pt idx="710">
                  <c:v>823</c:v>
                </c:pt>
                <c:pt idx="711">
                  <c:v>821</c:v>
                </c:pt>
                <c:pt idx="712">
                  <c:v>819</c:v>
                </c:pt>
                <c:pt idx="713">
                  <c:v>814</c:v>
                </c:pt>
                <c:pt idx="714">
                  <c:v>813</c:v>
                </c:pt>
                <c:pt idx="715">
                  <c:v>811</c:v>
                </c:pt>
                <c:pt idx="716">
                  <c:v>810</c:v>
                </c:pt>
                <c:pt idx="717">
                  <c:v>809</c:v>
                </c:pt>
                <c:pt idx="718">
                  <c:v>808</c:v>
                </c:pt>
                <c:pt idx="719">
                  <c:v>806</c:v>
                </c:pt>
                <c:pt idx="720">
                  <c:v>805</c:v>
                </c:pt>
                <c:pt idx="721">
                  <c:v>804</c:v>
                </c:pt>
                <c:pt idx="722">
                  <c:v>795</c:v>
                </c:pt>
                <c:pt idx="723">
                  <c:v>791</c:v>
                </c:pt>
                <c:pt idx="724">
                  <c:v>790</c:v>
                </c:pt>
                <c:pt idx="725">
                  <c:v>784</c:v>
                </c:pt>
                <c:pt idx="726">
                  <c:v>780</c:v>
                </c:pt>
                <c:pt idx="727">
                  <c:v>779</c:v>
                </c:pt>
                <c:pt idx="728">
                  <c:v>774</c:v>
                </c:pt>
                <c:pt idx="729">
                  <c:v>772</c:v>
                </c:pt>
                <c:pt idx="730">
                  <c:v>769</c:v>
                </c:pt>
                <c:pt idx="731">
                  <c:v>768</c:v>
                </c:pt>
                <c:pt idx="732">
                  <c:v>766</c:v>
                </c:pt>
                <c:pt idx="733">
                  <c:v>764</c:v>
                </c:pt>
                <c:pt idx="734">
                  <c:v>763</c:v>
                </c:pt>
                <c:pt idx="735">
                  <c:v>761</c:v>
                </c:pt>
                <c:pt idx="736">
                  <c:v>759</c:v>
                </c:pt>
                <c:pt idx="737">
                  <c:v>756</c:v>
                </c:pt>
                <c:pt idx="738">
                  <c:v>755</c:v>
                </c:pt>
                <c:pt idx="739">
                  <c:v>752</c:v>
                </c:pt>
                <c:pt idx="740">
                  <c:v>746</c:v>
                </c:pt>
                <c:pt idx="741">
                  <c:v>743</c:v>
                </c:pt>
                <c:pt idx="742">
                  <c:v>740</c:v>
                </c:pt>
                <c:pt idx="743">
                  <c:v>738</c:v>
                </c:pt>
                <c:pt idx="744">
                  <c:v>737</c:v>
                </c:pt>
                <c:pt idx="745">
                  <c:v>736</c:v>
                </c:pt>
                <c:pt idx="746">
                  <c:v>735</c:v>
                </c:pt>
                <c:pt idx="747">
                  <c:v>733</c:v>
                </c:pt>
                <c:pt idx="748">
                  <c:v>732</c:v>
                </c:pt>
                <c:pt idx="749">
                  <c:v>727</c:v>
                </c:pt>
                <c:pt idx="750">
                  <c:v>726</c:v>
                </c:pt>
                <c:pt idx="751">
                  <c:v>721</c:v>
                </c:pt>
                <c:pt idx="752">
                  <c:v>718</c:v>
                </c:pt>
                <c:pt idx="753">
                  <c:v>716</c:v>
                </c:pt>
                <c:pt idx="754">
                  <c:v>715</c:v>
                </c:pt>
                <c:pt idx="755">
                  <c:v>714</c:v>
                </c:pt>
                <c:pt idx="756">
                  <c:v>7753</c:v>
                </c:pt>
                <c:pt idx="757">
                  <c:v>7700</c:v>
                </c:pt>
                <c:pt idx="758">
                  <c:v>698</c:v>
                </c:pt>
                <c:pt idx="759">
                  <c:v>697</c:v>
                </c:pt>
                <c:pt idx="760">
                  <c:v>690</c:v>
                </c:pt>
                <c:pt idx="761">
                  <c:v>689</c:v>
                </c:pt>
                <c:pt idx="762">
                  <c:v>687</c:v>
                </c:pt>
                <c:pt idx="763">
                  <c:v>685</c:v>
                </c:pt>
                <c:pt idx="764">
                  <c:v>684</c:v>
                </c:pt>
                <c:pt idx="765">
                  <c:v>683</c:v>
                </c:pt>
                <c:pt idx="766">
                  <c:v>678</c:v>
                </c:pt>
                <c:pt idx="767">
                  <c:v>677</c:v>
                </c:pt>
                <c:pt idx="768">
                  <c:v>663</c:v>
                </c:pt>
                <c:pt idx="769">
                  <c:v>662</c:v>
                </c:pt>
                <c:pt idx="770">
                  <c:v>659</c:v>
                </c:pt>
                <c:pt idx="771">
                  <c:v>655</c:v>
                </c:pt>
                <c:pt idx="772">
                  <c:v>653</c:v>
                </c:pt>
                <c:pt idx="773">
                  <c:v>652</c:v>
                </c:pt>
                <c:pt idx="774">
                  <c:v>647</c:v>
                </c:pt>
                <c:pt idx="775">
                  <c:v>644</c:v>
                </c:pt>
                <c:pt idx="776">
                  <c:v>642</c:v>
                </c:pt>
                <c:pt idx="777">
                  <c:v>641</c:v>
                </c:pt>
                <c:pt idx="778">
                  <c:v>635</c:v>
                </c:pt>
                <c:pt idx="779">
                  <c:v>632</c:v>
                </c:pt>
                <c:pt idx="780">
                  <c:v>627</c:v>
                </c:pt>
                <c:pt idx="781">
                  <c:v>624</c:v>
                </c:pt>
                <c:pt idx="782">
                  <c:v>622</c:v>
                </c:pt>
                <c:pt idx="783">
                  <c:v>615</c:v>
                </c:pt>
                <c:pt idx="784">
                  <c:v>614</c:v>
                </c:pt>
                <c:pt idx="785">
                  <c:v>613</c:v>
                </c:pt>
                <c:pt idx="786">
                  <c:v>610</c:v>
                </c:pt>
                <c:pt idx="787">
                  <c:v>593</c:v>
                </c:pt>
                <c:pt idx="788">
                  <c:v>592</c:v>
                </c:pt>
                <c:pt idx="789">
                  <c:v>590</c:v>
                </c:pt>
                <c:pt idx="790">
                  <c:v>586</c:v>
                </c:pt>
                <c:pt idx="791">
                  <c:v>582</c:v>
                </c:pt>
                <c:pt idx="792">
                  <c:v>581</c:v>
                </c:pt>
                <c:pt idx="793">
                  <c:v>577</c:v>
                </c:pt>
                <c:pt idx="794">
                  <c:v>576</c:v>
                </c:pt>
                <c:pt idx="795">
                  <c:v>573</c:v>
                </c:pt>
                <c:pt idx="796">
                  <c:v>57</c:v>
                </c:pt>
                <c:pt idx="797">
                  <c:v>567</c:v>
                </c:pt>
                <c:pt idx="798">
                  <c:v>562</c:v>
                </c:pt>
                <c:pt idx="799">
                  <c:v>561</c:v>
                </c:pt>
                <c:pt idx="800">
                  <c:v>545</c:v>
                </c:pt>
                <c:pt idx="801">
                  <c:v>52</c:v>
                </c:pt>
                <c:pt idx="802">
                  <c:v>519</c:v>
                </c:pt>
                <c:pt idx="803">
                  <c:v>517</c:v>
                </c:pt>
                <c:pt idx="804">
                  <c:v>509</c:v>
                </c:pt>
                <c:pt idx="805">
                  <c:v>50</c:v>
                </c:pt>
                <c:pt idx="806">
                  <c:v>5728</c:v>
                </c:pt>
                <c:pt idx="807">
                  <c:v>5700</c:v>
                </c:pt>
                <c:pt idx="808">
                  <c:v>5622</c:v>
                </c:pt>
                <c:pt idx="809">
                  <c:v>5000</c:v>
                </c:pt>
                <c:pt idx="810">
                  <c:v>492</c:v>
                </c:pt>
                <c:pt idx="811">
                  <c:v>491</c:v>
                </c:pt>
                <c:pt idx="812">
                  <c:v>49</c:v>
                </c:pt>
                <c:pt idx="813">
                  <c:v>487</c:v>
                </c:pt>
                <c:pt idx="814">
                  <c:v>472</c:v>
                </c:pt>
                <c:pt idx="815">
                  <c:v>45</c:v>
                </c:pt>
                <c:pt idx="816">
                  <c:v>40</c:v>
                </c:pt>
                <c:pt idx="817">
                  <c:v>4387</c:v>
                </c:pt>
                <c:pt idx="818">
                  <c:v>4115</c:v>
                </c:pt>
                <c:pt idx="819">
                  <c:v>4000</c:v>
                </c:pt>
                <c:pt idx="820">
                  <c:v>31</c:v>
                </c:pt>
                <c:pt idx="821">
                  <c:v>3510</c:v>
                </c:pt>
                <c:pt idx="822">
                  <c:v>3318</c:v>
                </c:pt>
                <c:pt idx="823">
                  <c:v>3196</c:v>
                </c:pt>
                <c:pt idx="824">
                  <c:v>2983</c:v>
                </c:pt>
                <c:pt idx="825">
                  <c:v>2950</c:v>
                </c:pt>
                <c:pt idx="826">
                  <c:v>2943</c:v>
                </c:pt>
                <c:pt idx="827">
                  <c:v>2869</c:v>
                </c:pt>
                <c:pt idx="828">
                  <c:v>2865</c:v>
                </c:pt>
                <c:pt idx="829">
                  <c:v>2800</c:v>
                </c:pt>
                <c:pt idx="830">
                  <c:v>2676</c:v>
                </c:pt>
                <c:pt idx="831">
                  <c:v>2653</c:v>
                </c:pt>
                <c:pt idx="832">
                  <c:v>2635</c:v>
                </c:pt>
                <c:pt idx="833">
                  <c:v>2612</c:v>
                </c:pt>
                <c:pt idx="834">
                  <c:v>2595</c:v>
                </c:pt>
                <c:pt idx="835">
                  <c:v>2400</c:v>
                </c:pt>
                <c:pt idx="836">
                  <c:v>2324</c:v>
                </c:pt>
                <c:pt idx="837">
                  <c:v>2315</c:v>
                </c:pt>
                <c:pt idx="838">
                  <c:v>2301</c:v>
                </c:pt>
                <c:pt idx="839">
                  <c:v>2300</c:v>
                </c:pt>
                <c:pt idx="840">
                  <c:v>2286</c:v>
                </c:pt>
                <c:pt idx="841">
                  <c:v>2275</c:v>
                </c:pt>
                <c:pt idx="842">
                  <c:v>2258</c:v>
                </c:pt>
                <c:pt idx="843">
                  <c:v>2230</c:v>
                </c:pt>
                <c:pt idx="844">
                  <c:v>2208</c:v>
                </c:pt>
                <c:pt idx="845">
                  <c:v>2200</c:v>
                </c:pt>
                <c:pt idx="846">
                  <c:v>2185</c:v>
                </c:pt>
                <c:pt idx="847">
                  <c:v>2171</c:v>
                </c:pt>
                <c:pt idx="848">
                  <c:v>2160</c:v>
                </c:pt>
                <c:pt idx="849">
                  <c:v>2138</c:v>
                </c:pt>
                <c:pt idx="850">
                  <c:v>2135</c:v>
                </c:pt>
                <c:pt idx="851">
                  <c:v>2100</c:v>
                </c:pt>
                <c:pt idx="852">
                  <c:v>2083</c:v>
                </c:pt>
                <c:pt idx="853">
                  <c:v>2081</c:v>
                </c:pt>
                <c:pt idx="854">
                  <c:v>2018</c:v>
                </c:pt>
                <c:pt idx="855">
                  <c:v>1999</c:v>
                </c:pt>
                <c:pt idx="856">
                  <c:v>1975</c:v>
                </c:pt>
                <c:pt idx="857">
                  <c:v>1948</c:v>
                </c:pt>
                <c:pt idx="858">
                  <c:v>1947</c:v>
                </c:pt>
                <c:pt idx="859">
                  <c:v>1907</c:v>
                </c:pt>
                <c:pt idx="860">
                  <c:v>1892</c:v>
                </c:pt>
                <c:pt idx="861">
                  <c:v>1874</c:v>
                </c:pt>
                <c:pt idx="862">
                  <c:v>1859</c:v>
                </c:pt>
                <c:pt idx="863">
                  <c:v>1858</c:v>
                </c:pt>
                <c:pt idx="864">
                  <c:v>1849</c:v>
                </c:pt>
                <c:pt idx="865">
                  <c:v>1831</c:v>
                </c:pt>
                <c:pt idx="866">
                  <c:v>1827</c:v>
                </c:pt>
                <c:pt idx="867">
                  <c:v>1822</c:v>
                </c:pt>
                <c:pt idx="868">
                  <c:v>1803</c:v>
                </c:pt>
                <c:pt idx="869">
                  <c:v>1785</c:v>
                </c:pt>
                <c:pt idx="870">
                  <c:v>1749</c:v>
                </c:pt>
                <c:pt idx="871">
                  <c:v>1740</c:v>
                </c:pt>
                <c:pt idx="872">
                  <c:v>1729</c:v>
                </c:pt>
                <c:pt idx="873">
                  <c:v>1715</c:v>
                </c:pt>
                <c:pt idx="874">
                  <c:v>1711</c:v>
                </c:pt>
                <c:pt idx="875">
                  <c:v>1665</c:v>
                </c:pt>
                <c:pt idx="876">
                  <c:v>1656</c:v>
                </c:pt>
                <c:pt idx="877">
                  <c:v>1643</c:v>
                </c:pt>
                <c:pt idx="878">
                  <c:v>1641</c:v>
                </c:pt>
                <c:pt idx="879">
                  <c:v>1633</c:v>
                </c:pt>
                <c:pt idx="880">
                  <c:v>1615</c:v>
                </c:pt>
                <c:pt idx="881">
                  <c:v>1614</c:v>
                </c:pt>
                <c:pt idx="882">
                  <c:v>1608</c:v>
                </c:pt>
                <c:pt idx="883">
                  <c:v>1605</c:v>
                </c:pt>
                <c:pt idx="884">
                  <c:v>1599</c:v>
                </c:pt>
                <c:pt idx="885">
                  <c:v>1598</c:v>
                </c:pt>
                <c:pt idx="886">
                  <c:v>1595</c:v>
                </c:pt>
                <c:pt idx="887">
                  <c:v>1567</c:v>
                </c:pt>
                <c:pt idx="888">
                  <c:v>1557</c:v>
                </c:pt>
                <c:pt idx="889">
                  <c:v>1526</c:v>
                </c:pt>
                <c:pt idx="890">
                  <c:v>1523</c:v>
                </c:pt>
                <c:pt idx="891">
                  <c:v>1511</c:v>
                </c:pt>
                <c:pt idx="892">
                  <c:v>1507</c:v>
                </c:pt>
                <c:pt idx="893">
                  <c:v>1505</c:v>
                </c:pt>
                <c:pt idx="894">
                  <c:v>1499</c:v>
                </c:pt>
                <c:pt idx="895">
                  <c:v>1495</c:v>
                </c:pt>
                <c:pt idx="896">
                  <c:v>1492</c:v>
                </c:pt>
                <c:pt idx="897">
                  <c:v>1472</c:v>
                </c:pt>
                <c:pt idx="898">
                  <c:v>1440</c:v>
                </c:pt>
                <c:pt idx="899">
                  <c:v>1428</c:v>
                </c:pt>
                <c:pt idx="900">
                  <c:v>1424</c:v>
                </c:pt>
                <c:pt idx="901">
                  <c:v>1416</c:v>
                </c:pt>
                <c:pt idx="902">
                  <c:v>1413</c:v>
                </c:pt>
                <c:pt idx="903">
                  <c:v>1407</c:v>
                </c:pt>
                <c:pt idx="904">
                  <c:v>1404</c:v>
                </c:pt>
                <c:pt idx="905">
                  <c:v>1398</c:v>
                </c:pt>
                <c:pt idx="906">
                  <c:v>1392</c:v>
                </c:pt>
                <c:pt idx="907">
                  <c:v>1390</c:v>
                </c:pt>
                <c:pt idx="908">
                  <c:v>1386</c:v>
                </c:pt>
                <c:pt idx="909">
                  <c:v>1367</c:v>
                </c:pt>
                <c:pt idx="910">
                  <c:v>1366</c:v>
                </c:pt>
                <c:pt idx="911">
                  <c:v>1364</c:v>
                </c:pt>
                <c:pt idx="912">
                  <c:v>1358</c:v>
                </c:pt>
                <c:pt idx="913">
                  <c:v>1357</c:v>
                </c:pt>
                <c:pt idx="914">
                  <c:v>1353</c:v>
                </c:pt>
                <c:pt idx="915">
                  <c:v>1351</c:v>
                </c:pt>
                <c:pt idx="916">
                  <c:v>1350</c:v>
                </c:pt>
                <c:pt idx="917">
                  <c:v>1348</c:v>
                </c:pt>
                <c:pt idx="918">
                  <c:v>1343</c:v>
                </c:pt>
                <c:pt idx="919">
                  <c:v>1332</c:v>
                </c:pt>
                <c:pt idx="920">
                  <c:v>1326</c:v>
                </c:pt>
                <c:pt idx="921">
                  <c:v>1325</c:v>
                </c:pt>
                <c:pt idx="922">
                  <c:v>1321</c:v>
                </c:pt>
                <c:pt idx="923">
                  <c:v>1318</c:v>
                </c:pt>
                <c:pt idx="924">
                  <c:v>1313</c:v>
                </c:pt>
                <c:pt idx="925">
                  <c:v>1312</c:v>
                </c:pt>
                <c:pt idx="926">
                  <c:v>1304</c:v>
                </c:pt>
                <c:pt idx="927">
                  <c:v>1299</c:v>
                </c:pt>
                <c:pt idx="928">
                  <c:v>1291</c:v>
                </c:pt>
                <c:pt idx="929">
                  <c:v>1290</c:v>
                </c:pt>
                <c:pt idx="930">
                  <c:v>1288</c:v>
                </c:pt>
                <c:pt idx="931">
                  <c:v>1284</c:v>
                </c:pt>
                <c:pt idx="932">
                  <c:v>1273</c:v>
                </c:pt>
                <c:pt idx="933">
                  <c:v>1272</c:v>
                </c:pt>
                <c:pt idx="934">
                  <c:v>1265</c:v>
                </c:pt>
                <c:pt idx="935">
                  <c:v>1254</c:v>
                </c:pt>
                <c:pt idx="936">
                  <c:v>1251</c:v>
                </c:pt>
                <c:pt idx="937">
                  <c:v>1250</c:v>
                </c:pt>
                <c:pt idx="938">
                  <c:v>1248</c:v>
                </c:pt>
                <c:pt idx="939">
                  <c:v>1243</c:v>
                </c:pt>
                <c:pt idx="940">
                  <c:v>1241</c:v>
                </c:pt>
                <c:pt idx="941">
                  <c:v>1222</c:v>
                </c:pt>
                <c:pt idx="942">
                  <c:v>1221</c:v>
                </c:pt>
                <c:pt idx="943">
                  <c:v>1220</c:v>
                </c:pt>
                <c:pt idx="944">
                  <c:v>1215</c:v>
                </c:pt>
                <c:pt idx="945">
                  <c:v>1212</c:v>
                </c:pt>
                <c:pt idx="946">
                  <c:v>1207</c:v>
                </c:pt>
                <c:pt idx="947">
                  <c:v>1204</c:v>
                </c:pt>
                <c:pt idx="948">
                  <c:v>1203</c:v>
                </c:pt>
                <c:pt idx="949">
                  <c:v>1200</c:v>
                </c:pt>
                <c:pt idx="950">
                  <c:v>1196</c:v>
                </c:pt>
                <c:pt idx="951">
                  <c:v>1195</c:v>
                </c:pt>
                <c:pt idx="952">
                  <c:v>1189</c:v>
                </c:pt>
                <c:pt idx="953">
                  <c:v>1188</c:v>
                </c:pt>
                <c:pt idx="954">
                  <c:v>1183</c:v>
                </c:pt>
                <c:pt idx="955">
                  <c:v>1177</c:v>
                </c:pt>
                <c:pt idx="956">
                  <c:v>1170</c:v>
                </c:pt>
                <c:pt idx="957">
                  <c:v>1166</c:v>
                </c:pt>
                <c:pt idx="958">
                  <c:v>1164</c:v>
                </c:pt>
                <c:pt idx="959">
                  <c:v>1157</c:v>
                </c:pt>
                <c:pt idx="960">
                  <c:v>1143</c:v>
                </c:pt>
                <c:pt idx="961">
                  <c:v>1140</c:v>
                </c:pt>
                <c:pt idx="962">
                  <c:v>1136</c:v>
                </c:pt>
                <c:pt idx="963">
                  <c:v>1135</c:v>
                </c:pt>
                <c:pt idx="964">
                  <c:v>1134</c:v>
                </c:pt>
                <c:pt idx="965">
                  <c:v>1125</c:v>
                </c:pt>
                <c:pt idx="966">
                  <c:v>1123</c:v>
                </c:pt>
                <c:pt idx="967">
                  <c:v>1116</c:v>
                </c:pt>
                <c:pt idx="968">
                  <c:v>1101</c:v>
                </c:pt>
                <c:pt idx="969">
                  <c:v>1100</c:v>
                </c:pt>
                <c:pt idx="970">
                  <c:v>1099</c:v>
                </c:pt>
                <c:pt idx="971">
                  <c:v>1098</c:v>
                </c:pt>
                <c:pt idx="972">
                  <c:v>1097</c:v>
                </c:pt>
                <c:pt idx="973">
                  <c:v>1096</c:v>
                </c:pt>
                <c:pt idx="974">
                  <c:v>1092</c:v>
                </c:pt>
                <c:pt idx="975">
                  <c:v>1091</c:v>
                </c:pt>
                <c:pt idx="976">
                  <c:v>1085</c:v>
                </c:pt>
              </c:numCache>
            </c:numRef>
          </c:xVal>
          <c:yVal>
            <c:numRef>
              <c:f>Sheet1!$K$3:$K$1002</c:f>
              <c:numCache>
                <c:formatCode>General</c:formatCode>
                <c:ptCount val="977"/>
                <c:pt idx="0">
                  <c:v>94</c:v>
                </c:pt>
                <c:pt idx="1">
                  <c:v>79</c:v>
                </c:pt>
                <c:pt idx="2">
                  <c:v>67</c:v>
                </c:pt>
                <c:pt idx="3">
                  <c:v>67</c:v>
                </c:pt>
                <c:pt idx="4">
                  <c:v>65</c:v>
                </c:pt>
                <c:pt idx="5">
                  <c:v>64</c:v>
                </c:pt>
                <c:pt idx="6">
                  <c:v>63</c:v>
                </c:pt>
                <c:pt idx="7">
                  <c:v>62</c:v>
                </c:pt>
                <c:pt idx="8">
                  <c:v>62</c:v>
                </c:pt>
                <c:pt idx="9">
                  <c:v>61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54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50</c:v>
                </c:pt>
                <c:pt idx="28">
                  <c:v>50</c:v>
                </c:pt>
                <c:pt idx="29">
                  <c:v>49</c:v>
                </c:pt>
                <c:pt idx="30">
                  <c:v>48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46</c:v>
                </c:pt>
                <c:pt idx="35">
                  <c:v>46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44</c:v>
                </c:pt>
                <c:pt idx="41">
                  <c:v>44</c:v>
                </c:pt>
                <c:pt idx="42">
                  <c:v>42</c:v>
                </c:pt>
                <c:pt idx="43">
                  <c:v>42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38</c:v>
                </c:pt>
                <c:pt idx="61">
                  <c:v>37</c:v>
                </c:pt>
                <c:pt idx="62">
                  <c:v>37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33</c:v>
                </c:pt>
                <c:pt idx="82">
                  <c:v>33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5-4AEA-81A0-105E0FA10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79312"/>
        <c:axId val="205718352"/>
      </c:scatterChart>
      <c:valAx>
        <c:axId val="205779312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8352"/>
        <c:crosses val="autoZero"/>
        <c:crossBetween val="midCat"/>
      </c:valAx>
      <c:valAx>
        <c:axId val="2057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7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Sheet1!$N$3:$N$43</c:f>
              <c:numCache>
                <c:formatCode>General</c:formatCode>
                <c:ptCount val="39"/>
                <c:pt idx="0">
                  <c:v>95</c:v>
                </c:pt>
                <c:pt idx="1">
                  <c:v>89</c:v>
                </c:pt>
                <c:pt idx="2">
                  <c:v>861</c:v>
                </c:pt>
                <c:pt idx="3">
                  <c:v>798</c:v>
                </c:pt>
                <c:pt idx="4">
                  <c:v>754</c:v>
                </c:pt>
                <c:pt idx="5">
                  <c:v>718</c:v>
                </c:pt>
                <c:pt idx="6">
                  <c:v>630</c:v>
                </c:pt>
                <c:pt idx="7">
                  <c:v>607</c:v>
                </c:pt>
                <c:pt idx="8">
                  <c:v>532</c:v>
                </c:pt>
                <c:pt idx="9">
                  <c:v>503</c:v>
                </c:pt>
                <c:pt idx="10">
                  <c:v>449</c:v>
                </c:pt>
                <c:pt idx="11">
                  <c:v>443</c:v>
                </c:pt>
                <c:pt idx="12">
                  <c:v>405</c:v>
                </c:pt>
                <c:pt idx="13">
                  <c:v>359</c:v>
                </c:pt>
                <c:pt idx="14">
                  <c:v>323</c:v>
                </c:pt>
                <c:pt idx="15">
                  <c:v>315</c:v>
                </c:pt>
                <c:pt idx="16">
                  <c:v>308</c:v>
                </c:pt>
                <c:pt idx="17">
                  <c:v>307</c:v>
                </c:pt>
                <c:pt idx="18">
                  <c:v>287</c:v>
                </c:pt>
                <c:pt idx="19">
                  <c:v>271</c:v>
                </c:pt>
                <c:pt idx="20">
                  <c:v>266</c:v>
                </c:pt>
                <c:pt idx="21">
                  <c:v>252</c:v>
                </c:pt>
                <c:pt idx="22">
                  <c:v>235</c:v>
                </c:pt>
                <c:pt idx="23">
                  <c:v>225</c:v>
                </c:pt>
                <c:pt idx="24">
                  <c:v>222</c:v>
                </c:pt>
                <c:pt idx="25">
                  <c:v>211</c:v>
                </c:pt>
                <c:pt idx="26">
                  <c:v>203</c:v>
                </c:pt>
                <c:pt idx="27">
                  <c:v>189</c:v>
                </c:pt>
                <c:pt idx="28">
                  <c:v>183</c:v>
                </c:pt>
                <c:pt idx="29">
                  <c:v>162</c:v>
                </c:pt>
                <c:pt idx="30">
                  <c:v>156</c:v>
                </c:pt>
                <c:pt idx="31">
                  <c:v>147</c:v>
                </c:pt>
                <c:pt idx="32">
                  <c:v>121</c:v>
                </c:pt>
                <c:pt idx="33">
                  <c:v>114</c:v>
                </c:pt>
                <c:pt idx="34">
                  <c:v>106</c:v>
                </c:pt>
                <c:pt idx="35">
                  <c:v>1787</c:v>
                </c:pt>
                <c:pt idx="36">
                  <c:v>1435</c:v>
                </c:pt>
                <c:pt idx="37">
                  <c:v>1259</c:v>
                </c:pt>
                <c:pt idx="38">
                  <c:v>1076</c:v>
                </c:pt>
              </c:numCache>
            </c:numRef>
          </c:xVal>
          <c:yVal>
            <c:numRef>
              <c:f>Sheet1!$O$3:$O$43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F-4714-A648-D4426F2D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553744"/>
        <c:axId val="666550384"/>
      </c:scatterChart>
      <c:valAx>
        <c:axId val="666553744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50384"/>
        <c:crosses val="autoZero"/>
        <c:crossBetween val="midCat"/>
      </c:valAx>
      <c:valAx>
        <c:axId val="66655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Sheet1!$B$3:$B$22</c:f>
              <c:numCache>
                <c:formatCode>General</c:formatCode>
                <c:ptCount val="18"/>
                <c:pt idx="0">
                  <c:v>44</c:v>
                </c:pt>
                <c:pt idx="1">
                  <c:v>48</c:v>
                </c:pt>
                <c:pt idx="2">
                  <c:v>42</c:v>
                </c:pt>
                <c:pt idx="3">
                  <c:v>49</c:v>
                </c:pt>
                <c:pt idx="4">
                  <c:v>46</c:v>
                </c:pt>
                <c:pt idx="5">
                  <c:v>45</c:v>
                </c:pt>
                <c:pt idx="6">
                  <c:v>43</c:v>
                </c:pt>
                <c:pt idx="7">
                  <c:v>38</c:v>
                </c:pt>
                <c:pt idx="8">
                  <c:v>98</c:v>
                </c:pt>
                <c:pt idx="9">
                  <c:v>85</c:v>
                </c:pt>
                <c:pt idx="10">
                  <c:v>68</c:v>
                </c:pt>
                <c:pt idx="11">
                  <c:v>60</c:v>
                </c:pt>
                <c:pt idx="12">
                  <c:v>57</c:v>
                </c:pt>
                <c:pt idx="13">
                  <c:v>53</c:v>
                </c:pt>
                <c:pt idx="14">
                  <c:v>52</c:v>
                </c:pt>
                <c:pt idx="15">
                  <c:v>41</c:v>
                </c:pt>
                <c:pt idx="16">
                  <c:v>40</c:v>
                </c:pt>
                <c:pt idx="17">
                  <c:v>37</c:v>
                </c:pt>
              </c:numCache>
            </c:numRef>
          </c:xVal>
          <c:yVal>
            <c:numRef>
              <c:f>Sheet1!$C$3:$C$22</c:f>
              <c:numCache>
                <c:formatCode>General</c:formatCode>
                <c:ptCount val="18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E-4901-B90E-1B1170647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19520"/>
        <c:axId val="647517600"/>
      </c:scatterChart>
      <c:valAx>
        <c:axId val="64751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17600"/>
        <c:crosses val="autoZero"/>
        <c:crossBetween val="midCat"/>
      </c:valAx>
      <c:valAx>
        <c:axId val="6475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1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Sheet1!$F$3:$F$275</c:f>
              <c:numCache>
                <c:formatCode>General</c:formatCode>
                <c:ptCount val="250"/>
                <c:pt idx="0">
                  <c:v>50</c:v>
                </c:pt>
                <c:pt idx="1">
                  <c:v>60</c:v>
                </c:pt>
                <c:pt idx="2">
                  <c:v>51</c:v>
                </c:pt>
                <c:pt idx="3">
                  <c:v>75</c:v>
                </c:pt>
                <c:pt idx="4">
                  <c:v>72</c:v>
                </c:pt>
                <c:pt idx="5">
                  <c:v>58</c:v>
                </c:pt>
                <c:pt idx="6">
                  <c:v>53</c:v>
                </c:pt>
                <c:pt idx="7">
                  <c:v>80</c:v>
                </c:pt>
                <c:pt idx="8">
                  <c:v>63</c:v>
                </c:pt>
                <c:pt idx="9">
                  <c:v>55</c:v>
                </c:pt>
                <c:pt idx="10">
                  <c:v>59</c:v>
                </c:pt>
                <c:pt idx="11">
                  <c:v>54</c:v>
                </c:pt>
                <c:pt idx="12">
                  <c:v>70</c:v>
                </c:pt>
                <c:pt idx="13">
                  <c:v>56</c:v>
                </c:pt>
                <c:pt idx="14">
                  <c:v>48</c:v>
                </c:pt>
                <c:pt idx="15">
                  <c:v>95</c:v>
                </c:pt>
                <c:pt idx="16">
                  <c:v>68</c:v>
                </c:pt>
                <c:pt idx="17">
                  <c:v>90</c:v>
                </c:pt>
                <c:pt idx="18">
                  <c:v>85</c:v>
                </c:pt>
                <c:pt idx="19">
                  <c:v>57</c:v>
                </c:pt>
                <c:pt idx="20">
                  <c:v>79</c:v>
                </c:pt>
                <c:pt idx="21">
                  <c:v>69</c:v>
                </c:pt>
                <c:pt idx="22">
                  <c:v>62</c:v>
                </c:pt>
                <c:pt idx="23">
                  <c:v>81</c:v>
                </c:pt>
                <c:pt idx="24">
                  <c:v>77</c:v>
                </c:pt>
                <c:pt idx="25">
                  <c:v>52</c:v>
                </c:pt>
                <c:pt idx="26">
                  <c:v>76</c:v>
                </c:pt>
                <c:pt idx="27">
                  <c:v>105</c:v>
                </c:pt>
                <c:pt idx="28">
                  <c:v>89</c:v>
                </c:pt>
                <c:pt idx="29">
                  <c:v>71</c:v>
                </c:pt>
                <c:pt idx="30">
                  <c:v>86</c:v>
                </c:pt>
                <c:pt idx="31">
                  <c:v>45</c:v>
                </c:pt>
                <c:pt idx="32">
                  <c:v>100</c:v>
                </c:pt>
                <c:pt idx="33">
                  <c:v>73</c:v>
                </c:pt>
                <c:pt idx="34">
                  <c:v>66</c:v>
                </c:pt>
                <c:pt idx="35">
                  <c:v>61</c:v>
                </c:pt>
                <c:pt idx="36">
                  <c:v>67</c:v>
                </c:pt>
                <c:pt idx="37">
                  <c:v>83</c:v>
                </c:pt>
                <c:pt idx="38">
                  <c:v>74</c:v>
                </c:pt>
                <c:pt idx="39">
                  <c:v>46</c:v>
                </c:pt>
                <c:pt idx="40">
                  <c:v>133</c:v>
                </c:pt>
                <c:pt idx="41">
                  <c:v>108</c:v>
                </c:pt>
                <c:pt idx="42">
                  <c:v>96</c:v>
                </c:pt>
                <c:pt idx="43">
                  <c:v>91</c:v>
                </c:pt>
                <c:pt idx="44">
                  <c:v>87</c:v>
                </c:pt>
                <c:pt idx="45">
                  <c:v>78</c:v>
                </c:pt>
                <c:pt idx="46">
                  <c:v>126</c:v>
                </c:pt>
                <c:pt idx="47">
                  <c:v>110</c:v>
                </c:pt>
                <c:pt idx="48">
                  <c:v>98</c:v>
                </c:pt>
                <c:pt idx="49">
                  <c:v>88</c:v>
                </c:pt>
                <c:pt idx="50">
                  <c:v>82</c:v>
                </c:pt>
                <c:pt idx="51">
                  <c:v>47</c:v>
                </c:pt>
                <c:pt idx="52">
                  <c:v>44</c:v>
                </c:pt>
                <c:pt idx="53">
                  <c:v>135</c:v>
                </c:pt>
                <c:pt idx="54">
                  <c:v>131</c:v>
                </c:pt>
                <c:pt idx="55">
                  <c:v>128</c:v>
                </c:pt>
                <c:pt idx="56">
                  <c:v>116</c:v>
                </c:pt>
                <c:pt idx="57">
                  <c:v>99</c:v>
                </c:pt>
                <c:pt idx="58">
                  <c:v>92</c:v>
                </c:pt>
                <c:pt idx="59">
                  <c:v>84</c:v>
                </c:pt>
                <c:pt idx="60">
                  <c:v>49</c:v>
                </c:pt>
                <c:pt idx="61">
                  <c:v>150</c:v>
                </c:pt>
                <c:pt idx="62">
                  <c:v>130</c:v>
                </c:pt>
                <c:pt idx="63">
                  <c:v>125</c:v>
                </c:pt>
                <c:pt idx="64">
                  <c:v>123</c:v>
                </c:pt>
                <c:pt idx="65">
                  <c:v>109</c:v>
                </c:pt>
                <c:pt idx="66">
                  <c:v>106</c:v>
                </c:pt>
                <c:pt idx="67">
                  <c:v>104</c:v>
                </c:pt>
                <c:pt idx="68">
                  <c:v>93</c:v>
                </c:pt>
                <c:pt idx="69">
                  <c:v>160</c:v>
                </c:pt>
                <c:pt idx="70">
                  <c:v>118</c:v>
                </c:pt>
                <c:pt idx="71">
                  <c:v>102</c:v>
                </c:pt>
                <c:pt idx="72">
                  <c:v>40</c:v>
                </c:pt>
                <c:pt idx="73">
                  <c:v>172</c:v>
                </c:pt>
                <c:pt idx="74">
                  <c:v>122</c:v>
                </c:pt>
                <c:pt idx="75">
                  <c:v>120</c:v>
                </c:pt>
                <c:pt idx="76">
                  <c:v>111</c:v>
                </c:pt>
                <c:pt idx="77">
                  <c:v>103</c:v>
                </c:pt>
                <c:pt idx="78">
                  <c:v>101</c:v>
                </c:pt>
                <c:pt idx="79">
                  <c:v>97</c:v>
                </c:pt>
                <c:pt idx="80">
                  <c:v>94</c:v>
                </c:pt>
                <c:pt idx="81">
                  <c:v>43</c:v>
                </c:pt>
                <c:pt idx="82">
                  <c:v>41</c:v>
                </c:pt>
                <c:pt idx="83">
                  <c:v>234</c:v>
                </c:pt>
                <c:pt idx="84">
                  <c:v>185</c:v>
                </c:pt>
                <c:pt idx="85">
                  <c:v>175</c:v>
                </c:pt>
                <c:pt idx="86">
                  <c:v>157</c:v>
                </c:pt>
                <c:pt idx="87">
                  <c:v>145</c:v>
                </c:pt>
                <c:pt idx="88">
                  <c:v>143</c:v>
                </c:pt>
                <c:pt idx="89">
                  <c:v>142</c:v>
                </c:pt>
                <c:pt idx="90">
                  <c:v>139</c:v>
                </c:pt>
                <c:pt idx="91">
                  <c:v>124</c:v>
                </c:pt>
                <c:pt idx="92">
                  <c:v>115</c:v>
                </c:pt>
                <c:pt idx="93">
                  <c:v>114</c:v>
                </c:pt>
                <c:pt idx="94">
                  <c:v>113</c:v>
                </c:pt>
                <c:pt idx="95">
                  <c:v>39</c:v>
                </c:pt>
                <c:pt idx="96">
                  <c:v>36</c:v>
                </c:pt>
                <c:pt idx="97">
                  <c:v>35</c:v>
                </c:pt>
                <c:pt idx="98">
                  <c:v>240</c:v>
                </c:pt>
                <c:pt idx="99">
                  <c:v>237</c:v>
                </c:pt>
                <c:pt idx="100">
                  <c:v>216</c:v>
                </c:pt>
                <c:pt idx="101">
                  <c:v>189</c:v>
                </c:pt>
                <c:pt idx="102">
                  <c:v>188</c:v>
                </c:pt>
                <c:pt idx="103">
                  <c:v>187</c:v>
                </c:pt>
                <c:pt idx="104">
                  <c:v>170</c:v>
                </c:pt>
                <c:pt idx="105">
                  <c:v>168</c:v>
                </c:pt>
                <c:pt idx="106">
                  <c:v>163</c:v>
                </c:pt>
                <c:pt idx="107">
                  <c:v>155</c:v>
                </c:pt>
                <c:pt idx="108">
                  <c:v>152</c:v>
                </c:pt>
                <c:pt idx="109">
                  <c:v>148</c:v>
                </c:pt>
                <c:pt idx="110">
                  <c:v>147</c:v>
                </c:pt>
                <c:pt idx="111">
                  <c:v>144</c:v>
                </c:pt>
                <c:pt idx="112">
                  <c:v>141</c:v>
                </c:pt>
                <c:pt idx="113">
                  <c:v>138</c:v>
                </c:pt>
                <c:pt idx="114">
                  <c:v>136</c:v>
                </c:pt>
                <c:pt idx="115">
                  <c:v>132</c:v>
                </c:pt>
                <c:pt idx="116">
                  <c:v>121</c:v>
                </c:pt>
                <c:pt idx="117">
                  <c:v>117</c:v>
                </c:pt>
                <c:pt idx="118">
                  <c:v>999</c:v>
                </c:pt>
                <c:pt idx="119">
                  <c:v>610</c:v>
                </c:pt>
                <c:pt idx="120">
                  <c:v>550</c:v>
                </c:pt>
                <c:pt idx="121">
                  <c:v>480</c:v>
                </c:pt>
                <c:pt idx="122">
                  <c:v>445</c:v>
                </c:pt>
                <c:pt idx="123">
                  <c:v>42</c:v>
                </c:pt>
                <c:pt idx="124">
                  <c:v>417</c:v>
                </c:pt>
                <c:pt idx="125">
                  <c:v>34</c:v>
                </c:pt>
                <c:pt idx="126">
                  <c:v>337</c:v>
                </c:pt>
                <c:pt idx="127">
                  <c:v>327</c:v>
                </c:pt>
                <c:pt idx="128">
                  <c:v>298</c:v>
                </c:pt>
                <c:pt idx="129">
                  <c:v>294</c:v>
                </c:pt>
                <c:pt idx="130">
                  <c:v>291</c:v>
                </c:pt>
                <c:pt idx="131">
                  <c:v>290</c:v>
                </c:pt>
                <c:pt idx="132">
                  <c:v>288</c:v>
                </c:pt>
                <c:pt idx="133">
                  <c:v>245</c:v>
                </c:pt>
                <c:pt idx="134">
                  <c:v>242</c:v>
                </c:pt>
                <c:pt idx="135">
                  <c:v>238</c:v>
                </c:pt>
                <c:pt idx="136">
                  <c:v>230</c:v>
                </c:pt>
                <c:pt idx="137">
                  <c:v>226</c:v>
                </c:pt>
                <c:pt idx="138">
                  <c:v>219</c:v>
                </c:pt>
                <c:pt idx="139">
                  <c:v>203</c:v>
                </c:pt>
                <c:pt idx="140">
                  <c:v>201</c:v>
                </c:pt>
                <c:pt idx="141">
                  <c:v>198</c:v>
                </c:pt>
                <c:pt idx="142">
                  <c:v>182</c:v>
                </c:pt>
                <c:pt idx="143">
                  <c:v>171</c:v>
                </c:pt>
                <c:pt idx="144">
                  <c:v>165</c:v>
                </c:pt>
                <c:pt idx="145">
                  <c:v>164</c:v>
                </c:pt>
                <c:pt idx="146">
                  <c:v>158</c:v>
                </c:pt>
                <c:pt idx="147">
                  <c:v>156</c:v>
                </c:pt>
                <c:pt idx="148">
                  <c:v>154</c:v>
                </c:pt>
                <c:pt idx="149">
                  <c:v>151</c:v>
                </c:pt>
                <c:pt idx="150">
                  <c:v>149</c:v>
                </c:pt>
                <c:pt idx="151">
                  <c:v>146</c:v>
                </c:pt>
                <c:pt idx="152">
                  <c:v>134</c:v>
                </c:pt>
                <c:pt idx="153">
                  <c:v>129</c:v>
                </c:pt>
                <c:pt idx="154">
                  <c:v>127</c:v>
                </c:pt>
                <c:pt idx="155">
                  <c:v>107</c:v>
                </c:pt>
                <c:pt idx="156">
                  <c:v>982</c:v>
                </c:pt>
                <c:pt idx="157">
                  <c:v>972</c:v>
                </c:pt>
                <c:pt idx="158">
                  <c:v>954</c:v>
                </c:pt>
                <c:pt idx="159">
                  <c:v>874</c:v>
                </c:pt>
                <c:pt idx="160">
                  <c:v>861</c:v>
                </c:pt>
                <c:pt idx="161">
                  <c:v>852</c:v>
                </c:pt>
                <c:pt idx="162">
                  <c:v>808</c:v>
                </c:pt>
                <c:pt idx="163">
                  <c:v>794</c:v>
                </c:pt>
                <c:pt idx="164">
                  <c:v>720</c:v>
                </c:pt>
                <c:pt idx="165">
                  <c:v>700</c:v>
                </c:pt>
                <c:pt idx="166">
                  <c:v>636</c:v>
                </c:pt>
                <c:pt idx="167">
                  <c:v>600</c:v>
                </c:pt>
                <c:pt idx="168">
                  <c:v>581</c:v>
                </c:pt>
                <c:pt idx="169">
                  <c:v>566</c:v>
                </c:pt>
                <c:pt idx="170">
                  <c:v>558</c:v>
                </c:pt>
                <c:pt idx="171">
                  <c:v>544</c:v>
                </c:pt>
                <c:pt idx="172">
                  <c:v>507</c:v>
                </c:pt>
                <c:pt idx="173">
                  <c:v>497</c:v>
                </c:pt>
                <c:pt idx="174">
                  <c:v>485</c:v>
                </c:pt>
                <c:pt idx="175">
                  <c:v>466</c:v>
                </c:pt>
                <c:pt idx="176">
                  <c:v>463</c:v>
                </c:pt>
                <c:pt idx="177">
                  <c:v>450</c:v>
                </c:pt>
                <c:pt idx="178">
                  <c:v>433</c:v>
                </c:pt>
                <c:pt idx="179">
                  <c:v>429</c:v>
                </c:pt>
                <c:pt idx="180">
                  <c:v>428</c:v>
                </c:pt>
                <c:pt idx="181">
                  <c:v>420</c:v>
                </c:pt>
                <c:pt idx="182">
                  <c:v>408</c:v>
                </c:pt>
                <c:pt idx="183">
                  <c:v>405</c:v>
                </c:pt>
                <c:pt idx="184">
                  <c:v>403</c:v>
                </c:pt>
                <c:pt idx="185">
                  <c:v>400</c:v>
                </c:pt>
                <c:pt idx="186">
                  <c:v>394</c:v>
                </c:pt>
                <c:pt idx="187">
                  <c:v>385</c:v>
                </c:pt>
                <c:pt idx="188">
                  <c:v>38</c:v>
                </c:pt>
                <c:pt idx="189">
                  <c:v>376</c:v>
                </c:pt>
                <c:pt idx="190">
                  <c:v>373</c:v>
                </c:pt>
                <c:pt idx="191">
                  <c:v>330</c:v>
                </c:pt>
                <c:pt idx="192">
                  <c:v>33</c:v>
                </c:pt>
                <c:pt idx="193">
                  <c:v>325</c:v>
                </c:pt>
                <c:pt idx="194">
                  <c:v>317</c:v>
                </c:pt>
                <c:pt idx="195">
                  <c:v>312</c:v>
                </c:pt>
                <c:pt idx="196">
                  <c:v>31</c:v>
                </c:pt>
                <c:pt idx="197">
                  <c:v>307</c:v>
                </c:pt>
                <c:pt idx="198">
                  <c:v>302</c:v>
                </c:pt>
                <c:pt idx="199">
                  <c:v>30</c:v>
                </c:pt>
                <c:pt idx="200">
                  <c:v>296</c:v>
                </c:pt>
                <c:pt idx="201">
                  <c:v>292</c:v>
                </c:pt>
                <c:pt idx="202">
                  <c:v>29</c:v>
                </c:pt>
                <c:pt idx="203">
                  <c:v>286</c:v>
                </c:pt>
                <c:pt idx="204">
                  <c:v>285</c:v>
                </c:pt>
                <c:pt idx="205">
                  <c:v>280</c:v>
                </c:pt>
                <c:pt idx="206">
                  <c:v>279</c:v>
                </c:pt>
                <c:pt idx="207">
                  <c:v>272</c:v>
                </c:pt>
                <c:pt idx="208">
                  <c:v>270</c:v>
                </c:pt>
                <c:pt idx="209">
                  <c:v>266</c:v>
                </c:pt>
                <c:pt idx="210">
                  <c:v>263</c:v>
                </c:pt>
                <c:pt idx="211">
                  <c:v>262</c:v>
                </c:pt>
                <c:pt idx="212">
                  <c:v>260</c:v>
                </c:pt>
                <c:pt idx="213">
                  <c:v>252</c:v>
                </c:pt>
                <c:pt idx="214">
                  <c:v>25</c:v>
                </c:pt>
                <c:pt idx="215">
                  <c:v>247</c:v>
                </c:pt>
                <c:pt idx="216">
                  <c:v>246</c:v>
                </c:pt>
                <c:pt idx="217">
                  <c:v>243</c:v>
                </c:pt>
                <c:pt idx="218">
                  <c:v>24</c:v>
                </c:pt>
                <c:pt idx="219">
                  <c:v>239</c:v>
                </c:pt>
                <c:pt idx="220">
                  <c:v>235</c:v>
                </c:pt>
                <c:pt idx="221">
                  <c:v>229</c:v>
                </c:pt>
                <c:pt idx="222">
                  <c:v>225</c:v>
                </c:pt>
                <c:pt idx="223">
                  <c:v>224</c:v>
                </c:pt>
                <c:pt idx="224">
                  <c:v>222</c:v>
                </c:pt>
                <c:pt idx="225">
                  <c:v>212</c:v>
                </c:pt>
                <c:pt idx="226">
                  <c:v>200</c:v>
                </c:pt>
                <c:pt idx="227">
                  <c:v>199</c:v>
                </c:pt>
                <c:pt idx="228">
                  <c:v>195</c:v>
                </c:pt>
                <c:pt idx="229">
                  <c:v>194</c:v>
                </c:pt>
                <c:pt idx="230">
                  <c:v>192</c:v>
                </c:pt>
                <c:pt idx="231">
                  <c:v>191</c:v>
                </c:pt>
                <c:pt idx="232">
                  <c:v>190</c:v>
                </c:pt>
                <c:pt idx="233">
                  <c:v>186</c:v>
                </c:pt>
                <c:pt idx="234">
                  <c:v>184</c:v>
                </c:pt>
                <c:pt idx="235">
                  <c:v>183</c:v>
                </c:pt>
                <c:pt idx="236">
                  <c:v>180</c:v>
                </c:pt>
                <c:pt idx="237">
                  <c:v>179</c:v>
                </c:pt>
                <c:pt idx="238">
                  <c:v>173</c:v>
                </c:pt>
                <c:pt idx="239">
                  <c:v>167</c:v>
                </c:pt>
                <c:pt idx="240">
                  <c:v>166</c:v>
                </c:pt>
                <c:pt idx="241">
                  <c:v>162</c:v>
                </c:pt>
                <c:pt idx="242">
                  <c:v>161</c:v>
                </c:pt>
                <c:pt idx="243">
                  <c:v>159</c:v>
                </c:pt>
                <c:pt idx="244">
                  <c:v>153</c:v>
                </c:pt>
                <c:pt idx="245">
                  <c:v>140</c:v>
                </c:pt>
                <c:pt idx="246">
                  <c:v>137</c:v>
                </c:pt>
                <c:pt idx="247">
                  <c:v>119</c:v>
                </c:pt>
                <c:pt idx="248">
                  <c:v>112</c:v>
                </c:pt>
                <c:pt idx="249">
                  <c:v>11</c:v>
                </c:pt>
              </c:numCache>
            </c:numRef>
          </c:xVal>
          <c:yVal>
            <c:numRef>
              <c:f>Sheet1!$G$3:$G$275</c:f>
              <c:numCache>
                <c:formatCode>General</c:formatCode>
                <c:ptCount val="250"/>
                <c:pt idx="0">
                  <c:v>45</c:v>
                </c:pt>
                <c:pt idx="1">
                  <c:v>33</c:v>
                </c:pt>
                <c:pt idx="2">
                  <c:v>30</c:v>
                </c:pt>
                <c:pt idx="3">
                  <c:v>27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25</c:v>
                </c:pt>
                <c:pt idx="8">
                  <c:v>24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14</c:v>
                </c:pt>
                <c:pt idx="29">
                  <c:v>14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11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F-42F1-9AA9-F544ED35E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2512"/>
        <c:axId val="204079312"/>
      </c:scatterChart>
      <c:valAx>
        <c:axId val="20406251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9312"/>
        <c:crosses val="autoZero"/>
        <c:crossBetween val="midCat"/>
      </c:valAx>
      <c:valAx>
        <c:axId val="2040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3</xdr:row>
      <xdr:rowOff>104775</xdr:rowOff>
    </xdr:from>
    <xdr:to>
      <xdr:col>12</xdr:col>
      <xdr:colOff>348615</xdr:colOff>
      <xdr:row>18</xdr:row>
      <xdr:rowOff>173355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4A1A2A-91E7-470A-9D94-C38AB051F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156210</xdr:colOff>
      <xdr:row>4</xdr:row>
      <xdr:rowOff>100965</xdr:rowOff>
    </xdr:from>
    <xdr:to>
      <xdr:col>20</xdr:col>
      <xdr:colOff>209550</xdr:colOff>
      <xdr:row>14</xdr:row>
      <xdr:rowOff>93345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F05828-FF4D-DA02-6DC7-DF1F4445F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3</xdr:row>
      <xdr:rowOff>80010</xdr:rowOff>
    </xdr:from>
    <xdr:to>
      <xdr:col>4</xdr:col>
      <xdr:colOff>388620</xdr:colOff>
      <xdr:row>10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42ACC8-DFA0-D352-9342-4FC90B327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116205</xdr:colOff>
      <xdr:row>21</xdr:row>
      <xdr:rowOff>7620</xdr:rowOff>
    </xdr:from>
    <xdr:to>
      <xdr:col>8</xdr:col>
      <xdr:colOff>361950</xdr:colOff>
      <xdr:row>31</xdr:row>
      <xdr:rowOff>169545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81BA9C-62D5-C687-9EA3-8FA9A314D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9B362-9346-4CA3-A6C0-9890877048CB}" name="Table2" displayName="Table2" ref="B2:C23" totalsRowCount="1">
  <autoFilter ref="B2:C22" xr:uid="{FE69B362-9346-4CA3-A6C0-9890877048CB}"/>
  <sortState xmlns:xlrd2="http://schemas.microsoft.com/office/spreadsheetml/2017/richdata2" ref="B3:C22">
    <sortCondition descending="1" ref="C2:C22"/>
  </sortState>
  <tableColumns count="2">
    <tableColumn id="1" xr3:uid="{EA9ABA85-F97D-4054-B99F-E5B00BC89753}" name="$" totalsRowFunction="custom">
      <totalsRowFormula>AVERAGE(Table2[$])</totalsRowFormula>
    </tableColumn>
    <tableColumn id="2" xr3:uid="{3548DE17-D68F-4384-B379-E01A9D71DBE6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18AD04-05B1-4A84-83F3-D39935FD0B83}" name="Table3" displayName="Table3" ref="F2:G276" totalsRowCount="1">
  <autoFilter ref="F2:G275" xr:uid="{D218AD04-05B1-4A84-83F3-D39935FD0B83}">
    <filterColumn colId="0">
      <customFilters>
        <customFilter operator="lessThan" val="1000"/>
      </customFilters>
    </filterColumn>
  </autoFilter>
  <tableColumns count="2">
    <tableColumn id="1" xr3:uid="{DCF06709-D110-42FB-8907-EDEF30C284B4}" name="$" totalsRowFunction="custom">
      <totalsRowFormula>+AVERAGE(Table3[$])</totalsRowFormula>
    </tableColumn>
    <tableColumn id="2" xr3:uid="{D0B7DD11-F20D-4F3A-8DF0-FA5679A33DFC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9A7CAC-FCAD-48C2-87DC-FFEC36B9C395}" name="Table4" displayName="Table4" ref="J2:K1003" totalsRowCount="1">
  <autoFilter ref="J2:K1002" xr:uid="{6D9A7CAC-FCAD-48C2-87DC-FFEC36B9C395}"/>
  <sortState xmlns:xlrd2="http://schemas.microsoft.com/office/spreadsheetml/2017/richdata2" ref="J3:K1002">
    <sortCondition descending="1" ref="K2:K1002"/>
  </sortState>
  <tableColumns count="2">
    <tableColumn id="1" xr3:uid="{39666E2A-F10D-4C27-8BD1-AC3F155AEFBC}" name="# fd" totalsRowFunction="custom">
      <totalsRowFormula>AVERAGE(J3:J1002)</totalsRowFormula>
    </tableColumn>
    <tableColumn id="2" xr3:uid="{06D47F22-71D9-4A9E-B208-89A0543F7E8A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0C4299-9EBC-4606-8C54-F23A49DEBCFB}" name="Table5" displayName="Table5" ref="N2:O44" totalsRowCount="1">
  <autoFilter ref="N2:O43" xr:uid="{790C4299-9EBC-4606-8C54-F23A49DEBCFB}">
    <filterColumn colId="0">
      <customFilters>
        <customFilter operator="lessThan" val="2000"/>
      </customFilters>
    </filterColumn>
  </autoFilter>
  <tableColumns count="2">
    <tableColumn id="1" xr3:uid="{6C859D23-B0CA-4952-BB47-C37C87A68904}" name="# fd" totalsRowFunction="custom">
      <totalsRowFormula>AVERAGE(N3:N43)</totalsRowFormula>
    </tableColumn>
    <tableColumn id="2" xr3:uid="{987CF452-62AC-483D-85BA-604CA6218A4B}" name="count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A9A1AD-D263-4EEC-9D5A-EC6126B5C0A7}" name="Table6" displayName="Table6" ref="B3:C24" totalsRowCount="1">
  <autoFilter ref="B3:C23" xr:uid="{66A9A1AD-D263-4EEC-9D5A-EC6126B5C0A7}">
    <filterColumn colId="0">
      <filters>
        <filter val="10332"/>
        <filter val="1140"/>
        <filter val="12054"/>
        <filter val="1350"/>
        <filter val="1410"/>
        <filter val="1452"/>
        <filter val="1500000"/>
        <filter val="1596"/>
        <filter val="1842"/>
        <filter val="2052"/>
        <filter val="240000"/>
        <filter val="2694"/>
        <filter val="2808"/>
        <filter val="300000"/>
        <filter val="3000000"/>
        <filter val="3252"/>
        <filter val="600000"/>
        <filter val="684"/>
        <filter val="972"/>
      </filters>
    </filterColumn>
  </autoFilter>
  <tableColumns count="2">
    <tableColumn id="1" xr3:uid="{1A9E9180-3EA6-4356-B87A-621937A4ED63}" name="# estimated_revenue_l365d" totalsRowFunction="custom" dataDxfId="1" totalsRowDxfId="0">
      <totalsRowFormula>+AVERAGE(B4:B23)</totalsRowFormula>
    </tableColumn>
    <tableColumn id="2" xr3:uid="{0D13EB71-2F2E-4220-858C-0BFA4585D9EF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17C6-6C97-46C8-A253-0D4607BD6C61}">
  <dimension ref="A1:W1004"/>
  <sheetViews>
    <sheetView tabSelected="1" topLeftCell="J1" workbookViewId="0">
      <selection activeCell="P47" sqref="P47"/>
    </sheetView>
  </sheetViews>
  <sheetFormatPr defaultRowHeight="14.4" x14ac:dyDescent="0.3"/>
  <cols>
    <col min="4" max="4" width="5.109375" customWidth="1"/>
    <col min="8" max="8" width="4.88671875" customWidth="1"/>
    <col min="12" max="12" width="6" customWidth="1"/>
    <col min="21" max="21" width="48.5546875" bestFit="1" customWidth="1"/>
    <col min="22" max="22" width="26.5546875" bestFit="1" customWidth="1"/>
    <col min="23" max="23" width="10.6640625" bestFit="1" customWidth="1"/>
  </cols>
  <sheetData>
    <row r="1" spans="1:23" x14ac:dyDescent="0.3">
      <c r="A1" t="s">
        <v>4</v>
      </c>
      <c r="E1" t="s">
        <v>2</v>
      </c>
      <c r="F1">
        <v>0</v>
      </c>
      <c r="G1">
        <v>-1000</v>
      </c>
      <c r="I1" t="s">
        <v>5</v>
      </c>
      <c r="J1">
        <v>0</v>
      </c>
      <c r="K1" s="2">
        <v>-10000</v>
      </c>
      <c r="M1" t="s">
        <v>6</v>
      </c>
      <c r="N1">
        <v>0</v>
      </c>
      <c r="O1">
        <v>-2000</v>
      </c>
    </row>
    <row r="2" spans="1:23" x14ac:dyDescent="0.3">
      <c r="B2" t="s">
        <v>3</v>
      </c>
      <c r="C2" t="s">
        <v>1</v>
      </c>
      <c r="F2" t="s">
        <v>3</v>
      </c>
      <c r="G2" t="s">
        <v>1</v>
      </c>
      <c r="J2" t="s">
        <v>0</v>
      </c>
      <c r="K2" t="s">
        <v>1</v>
      </c>
      <c r="N2" t="s">
        <v>0</v>
      </c>
      <c r="O2" t="s">
        <v>1</v>
      </c>
      <c r="U2" t="s">
        <v>7</v>
      </c>
      <c r="V2" t="s">
        <v>8</v>
      </c>
      <c r="W2" t="s">
        <v>9</v>
      </c>
    </row>
    <row r="3" spans="1:23" x14ac:dyDescent="0.3">
      <c r="B3">
        <v>44</v>
      </c>
      <c r="C3">
        <v>8</v>
      </c>
      <c r="F3">
        <v>50</v>
      </c>
      <c r="G3">
        <v>45</v>
      </c>
      <c r="J3">
        <v>100</v>
      </c>
      <c r="K3">
        <v>94</v>
      </c>
      <c r="N3">
        <v>95</v>
      </c>
      <c r="O3">
        <v>1</v>
      </c>
      <c r="U3" t="s">
        <v>10</v>
      </c>
      <c r="V3" t="s">
        <v>11</v>
      </c>
      <c r="W3" s="1">
        <v>33</v>
      </c>
    </row>
    <row r="4" spans="1:23" x14ac:dyDescent="0.3">
      <c r="B4">
        <v>48</v>
      </c>
      <c r="C4">
        <v>5</v>
      </c>
      <c r="F4">
        <v>60</v>
      </c>
      <c r="G4">
        <v>33</v>
      </c>
      <c r="J4">
        <v>150</v>
      </c>
      <c r="K4">
        <v>79</v>
      </c>
      <c r="N4">
        <v>89</v>
      </c>
      <c r="O4">
        <v>2</v>
      </c>
      <c r="U4" t="s">
        <v>12</v>
      </c>
      <c r="V4" t="s">
        <v>13</v>
      </c>
      <c r="W4" s="1">
        <v>330</v>
      </c>
    </row>
    <row r="5" spans="1:23" x14ac:dyDescent="0.3">
      <c r="B5">
        <v>42</v>
      </c>
      <c r="C5">
        <v>4</v>
      </c>
      <c r="F5">
        <v>51</v>
      </c>
      <c r="G5">
        <v>30</v>
      </c>
      <c r="J5">
        <v>95</v>
      </c>
      <c r="K5">
        <v>67</v>
      </c>
      <c r="N5">
        <v>861</v>
      </c>
      <c r="O5">
        <v>1</v>
      </c>
      <c r="U5" t="s">
        <v>14</v>
      </c>
      <c r="V5" t="s">
        <v>15</v>
      </c>
      <c r="W5" s="1">
        <v>337</v>
      </c>
    </row>
    <row r="6" spans="1:23" x14ac:dyDescent="0.3">
      <c r="B6">
        <v>49</v>
      </c>
      <c r="C6">
        <v>2</v>
      </c>
      <c r="F6">
        <v>75</v>
      </c>
      <c r="G6">
        <v>27</v>
      </c>
      <c r="J6">
        <v>125</v>
      </c>
      <c r="K6">
        <v>67</v>
      </c>
      <c r="N6">
        <v>798</v>
      </c>
      <c r="O6">
        <v>1</v>
      </c>
      <c r="U6" t="s">
        <v>16</v>
      </c>
      <c r="V6" t="s">
        <v>17</v>
      </c>
      <c r="W6" s="1">
        <v>337</v>
      </c>
    </row>
    <row r="7" spans="1:23" x14ac:dyDescent="0.3">
      <c r="B7">
        <v>46</v>
      </c>
      <c r="C7">
        <v>2</v>
      </c>
      <c r="F7">
        <v>72</v>
      </c>
      <c r="G7">
        <v>26</v>
      </c>
      <c r="J7">
        <v>110</v>
      </c>
      <c r="K7">
        <v>65</v>
      </c>
      <c r="N7">
        <v>754</v>
      </c>
      <c r="O7">
        <v>1</v>
      </c>
      <c r="U7" t="s">
        <v>18</v>
      </c>
      <c r="V7" t="s">
        <v>11</v>
      </c>
      <c r="W7" s="1">
        <v>34</v>
      </c>
    </row>
    <row r="8" spans="1:23" x14ac:dyDescent="0.3">
      <c r="B8">
        <v>45</v>
      </c>
      <c r="C8">
        <v>2</v>
      </c>
      <c r="F8">
        <v>58</v>
      </c>
      <c r="G8">
        <v>26</v>
      </c>
      <c r="J8">
        <v>99</v>
      </c>
      <c r="K8">
        <v>64</v>
      </c>
      <c r="N8">
        <v>718</v>
      </c>
      <c r="O8">
        <v>2</v>
      </c>
      <c r="U8" t="s">
        <v>19</v>
      </c>
      <c r="V8" t="s">
        <v>11</v>
      </c>
      <c r="W8" s="1">
        <v>34</v>
      </c>
    </row>
    <row r="9" spans="1:23" x14ac:dyDescent="0.3">
      <c r="B9">
        <v>43</v>
      </c>
      <c r="C9">
        <v>2</v>
      </c>
      <c r="F9">
        <v>53</v>
      </c>
      <c r="G9">
        <v>26</v>
      </c>
      <c r="J9">
        <v>175</v>
      </c>
      <c r="K9">
        <v>63</v>
      </c>
      <c r="N9">
        <v>630</v>
      </c>
      <c r="O9">
        <v>1</v>
      </c>
      <c r="U9" t="s">
        <v>20</v>
      </c>
      <c r="V9" t="s">
        <v>21</v>
      </c>
      <c r="W9" s="1">
        <v>35</v>
      </c>
    </row>
    <row r="10" spans="1:23" x14ac:dyDescent="0.3">
      <c r="B10">
        <v>38</v>
      </c>
      <c r="C10">
        <v>2</v>
      </c>
      <c r="F10">
        <v>80</v>
      </c>
      <c r="G10">
        <v>25</v>
      </c>
      <c r="J10">
        <v>144</v>
      </c>
      <c r="K10">
        <v>62</v>
      </c>
      <c r="N10">
        <v>607</v>
      </c>
      <c r="O10">
        <v>1</v>
      </c>
      <c r="U10" t="s">
        <v>22</v>
      </c>
      <c r="V10" t="s">
        <v>23</v>
      </c>
      <c r="W10" s="1">
        <v>35</v>
      </c>
    </row>
    <row r="11" spans="1:23" x14ac:dyDescent="0.3">
      <c r="B11">
        <v>98</v>
      </c>
      <c r="C11">
        <v>1</v>
      </c>
      <c r="F11">
        <v>63</v>
      </c>
      <c r="G11">
        <v>24</v>
      </c>
      <c r="J11">
        <v>120</v>
      </c>
      <c r="K11">
        <v>62</v>
      </c>
      <c r="N11">
        <v>532</v>
      </c>
      <c r="O11">
        <v>2</v>
      </c>
      <c r="U11" t="s">
        <v>24</v>
      </c>
      <c r="V11" t="s">
        <v>25</v>
      </c>
      <c r="W11" s="1">
        <v>35</v>
      </c>
    </row>
    <row r="12" spans="1:23" x14ac:dyDescent="0.3">
      <c r="B12">
        <v>85</v>
      </c>
      <c r="C12">
        <v>1</v>
      </c>
      <c r="F12">
        <v>55</v>
      </c>
      <c r="G12">
        <v>24</v>
      </c>
      <c r="J12">
        <v>105</v>
      </c>
      <c r="K12">
        <v>61</v>
      </c>
      <c r="N12">
        <v>503</v>
      </c>
      <c r="O12">
        <v>1</v>
      </c>
      <c r="U12" t="s">
        <v>26</v>
      </c>
      <c r="V12" t="s">
        <v>27</v>
      </c>
      <c r="W12" s="1">
        <v>36</v>
      </c>
    </row>
    <row r="13" spans="1:23" hidden="1" x14ac:dyDescent="0.3">
      <c r="B13">
        <v>75</v>
      </c>
      <c r="C13">
        <v>1</v>
      </c>
      <c r="F13">
        <v>65</v>
      </c>
      <c r="G13">
        <v>23</v>
      </c>
      <c r="J13">
        <v>135</v>
      </c>
      <c r="K13">
        <v>60</v>
      </c>
      <c r="N13">
        <v>50000</v>
      </c>
      <c r="O13">
        <v>27</v>
      </c>
      <c r="U13" t="s">
        <v>28</v>
      </c>
      <c r="V13" t="s">
        <v>29</v>
      </c>
      <c r="W13" s="1">
        <v>36</v>
      </c>
    </row>
    <row r="14" spans="1:23" x14ac:dyDescent="0.3">
      <c r="B14">
        <v>68</v>
      </c>
      <c r="C14">
        <v>1</v>
      </c>
      <c r="F14">
        <v>59</v>
      </c>
      <c r="G14">
        <v>22</v>
      </c>
      <c r="J14">
        <v>200</v>
      </c>
      <c r="K14">
        <v>59</v>
      </c>
      <c r="N14">
        <v>449</v>
      </c>
      <c r="O14">
        <v>2</v>
      </c>
      <c r="U14" t="s">
        <v>30</v>
      </c>
      <c r="V14" t="s">
        <v>21</v>
      </c>
      <c r="W14" s="1">
        <v>36</v>
      </c>
    </row>
    <row r="15" spans="1:23" x14ac:dyDescent="0.3">
      <c r="B15">
        <v>60</v>
      </c>
      <c r="C15">
        <v>1</v>
      </c>
      <c r="F15">
        <v>54</v>
      </c>
      <c r="G15">
        <v>22</v>
      </c>
      <c r="J15">
        <v>140</v>
      </c>
      <c r="K15">
        <v>59</v>
      </c>
      <c r="N15">
        <v>443</v>
      </c>
      <c r="O15">
        <v>2</v>
      </c>
      <c r="U15" t="s">
        <v>31</v>
      </c>
      <c r="V15" t="s">
        <v>17</v>
      </c>
      <c r="W15" s="1">
        <v>373</v>
      </c>
    </row>
    <row r="16" spans="1:23" x14ac:dyDescent="0.3">
      <c r="B16">
        <v>57</v>
      </c>
      <c r="C16">
        <v>1</v>
      </c>
      <c r="F16">
        <v>70</v>
      </c>
      <c r="G16">
        <v>21</v>
      </c>
      <c r="J16">
        <v>113</v>
      </c>
      <c r="K16">
        <v>59</v>
      </c>
      <c r="N16">
        <v>405</v>
      </c>
      <c r="O16">
        <v>1</v>
      </c>
      <c r="U16" t="s">
        <v>32</v>
      </c>
      <c r="V16" t="s">
        <v>17</v>
      </c>
      <c r="W16" s="1">
        <v>376</v>
      </c>
    </row>
    <row r="17" spans="2:23" hidden="1" x14ac:dyDescent="0.3">
      <c r="B17">
        <v>55</v>
      </c>
      <c r="C17">
        <v>1</v>
      </c>
      <c r="F17">
        <v>64</v>
      </c>
      <c r="G17">
        <v>21</v>
      </c>
      <c r="J17">
        <v>121</v>
      </c>
      <c r="K17">
        <v>57</v>
      </c>
      <c r="N17">
        <v>40000</v>
      </c>
      <c r="O17">
        <v>28</v>
      </c>
      <c r="U17" t="s">
        <v>33</v>
      </c>
      <c r="V17" t="s">
        <v>29</v>
      </c>
      <c r="W17" s="1">
        <v>38</v>
      </c>
    </row>
    <row r="18" spans="2:23" x14ac:dyDescent="0.3">
      <c r="B18">
        <v>53</v>
      </c>
      <c r="C18">
        <v>1</v>
      </c>
      <c r="F18">
        <v>56</v>
      </c>
      <c r="G18">
        <v>21</v>
      </c>
      <c r="J18">
        <v>90</v>
      </c>
      <c r="K18">
        <v>56</v>
      </c>
      <c r="N18">
        <v>359</v>
      </c>
      <c r="O18">
        <v>2</v>
      </c>
      <c r="U18" t="s">
        <v>34</v>
      </c>
      <c r="V18" t="s">
        <v>17</v>
      </c>
      <c r="W18" s="1">
        <v>385</v>
      </c>
    </row>
    <row r="19" spans="2:23" x14ac:dyDescent="0.3">
      <c r="B19">
        <v>52</v>
      </c>
      <c r="C19">
        <v>1</v>
      </c>
      <c r="F19">
        <v>48</v>
      </c>
      <c r="G19">
        <v>21</v>
      </c>
      <c r="J19">
        <v>165</v>
      </c>
      <c r="K19">
        <v>56</v>
      </c>
      <c r="N19">
        <v>323</v>
      </c>
      <c r="O19">
        <v>1</v>
      </c>
      <c r="U19" t="s">
        <v>35</v>
      </c>
      <c r="V19" t="s">
        <v>21</v>
      </c>
      <c r="W19" s="1">
        <v>39</v>
      </c>
    </row>
    <row r="20" spans="2:23" x14ac:dyDescent="0.3">
      <c r="B20">
        <v>41</v>
      </c>
      <c r="C20">
        <v>1</v>
      </c>
      <c r="F20">
        <v>95</v>
      </c>
      <c r="G20">
        <v>20</v>
      </c>
      <c r="J20">
        <v>129</v>
      </c>
      <c r="K20">
        <v>56</v>
      </c>
      <c r="N20">
        <v>315</v>
      </c>
      <c r="O20">
        <v>2</v>
      </c>
      <c r="U20" t="s">
        <v>36</v>
      </c>
      <c r="V20" t="s">
        <v>37</v>
      </c>
      <c r="W20" s="1">
        <v>39</v>
      </c>
    </row>
    <row r="21" spans="2:23" x14ac:dyDescent="0.3">
      <c r="B21">
        <v>40</v>
      </c>
      <c r="C21">
        <v>1</v>
      </c>
      <c r="F21">
        <v>68</v>
      </c>
      <c r="G21">
        <v>20</v>
      </c>
      <c r="J21">
        <v>115</v>
      </c>
      <c r="K21">
        <v>56</v>
      </c>
      <c r="N21">
        <v>308</v>
      </c>
      <c r="O21">
        <v>2</v>
      </c>
      <c r="U21" t="s">
        <v>38</v>
      </c>
      <c r="V21" t="s">
        <v>39</v>
      </c>
      <c r="W21" s="1">
        <v>39</v>
      </c>
    </row>
    <row r="22" spans="2:23" x14ac:dyDescent="0.3">
      <c r="B22">
        <v>37</v>
      </c>
      <c r="C22">
        <v>1</v>
      </c>
      <c r="F22">
        <v>90</v>
      </c>
      <c r="G22">
        <v>19</v>
      </c>
      <c r="J22">
        <v>116</v>
      </c>
      <c r="K22">
        <v>54</v>
      </c>
      <c r="N22">
        <v>307</v>
      </c>
      <c r="O22">
        <v>1</v>
      </c>
      <c r="U22" t="s">
        <v>40</v>
      </c>
      <c r="V22" t="s">
        <v>17</v>
      </c>
      <c r="W22" s="1">
        <v>394</v>
      </c>
    </row>
    <row r="23" spans="2:23" x14ac:dyDescent="0.3">
      <c r="B23">
        <f>AVERAGE(Table2[$])</f>
        <v>53.8</v>
      </c>
      <c r="F23">
        <v>85</v>
      </c>
      <c r="G23">
        <v>19</v>
      </c>
      <c r="J23">
        <v>148</v>
      </c>
      <c r="K23">
        <v>53</v>
      </c>
      <c r="N23">
        <v>287</v>
      </c>
      <c r="O23">
        <v>1</v>
      </c>
      <c r="U23" t="s">
        <v>41</v>
      </c>
      <c r="V23" t="s">
        <v>42</v>
      </c>
      <c r="W23" s="1">
        <v>40000</v>
      </c>
    </row>
    <row r="24" spans="2:23" x14ac:dyDescent="0.3">
      <c r="B24">
        <f>MEDIAN(B3:B22)</f>
        <v>48.5</v>
      </c>
      <c r="F24">
        <v>57</v>
      </c>
      <c r="G24">
        <v>19</v>
      </c>
      <c r="J24">
        <v>128</v>
      </c>
      <c r="K24">
        <v>53</v>
      </c>
      <c r="N24">
        <v>271</v>
      </c>
      <c r="O24">
        <v>1</v>
      </c>
      <c r="U24" t="s">
        <v>43</v>
      </c>
      <c r="V24" t="s">
        <v>42</v>
      </c>
      <c r="W24" s="1">
        <v>40000</v>
      </c>
    </row>
    <row r="25" spans="2:23" x14ac:dyDescent="0.3">
      <c r="F25">
        <v>79</v>
      </c>
      <c r="G25">
        <v>17</v>
      </c>
      <c r="J25">
        <v>102</v>
      </c>
      <c r="K25">
        <v>53</v>
      </c>
      <c r="N25">
        <v>266</v>
      </c>
      <c r="O25">
        <v>3</v>
      </c>
      <c r="U25" t="s">
        <v>44</v>
      </c>
      <c r="V25" t="s">
        <v>45</v>
      </c>
      <c r="W25" s="1">
        <v>40000</v>
      </c>
    </row>
    <row r="26" spans="2:23" x14ac:dyDescent="0.3">
      <c r="F26">
        <v>69</v>
      </c>
      <c r="G26">
        <v>17</v>
      </c>
      <c r="J26">
        <v>160</v>
      </c>
      <c r="K26">
        <v>52</v>
      </c>
      <c r="N26">
        <v>252</v>
      </c>
      <c r="O26">
        <v>1</v>
      </c>
      <c r="U26" t="s">
        <v>46</v>
      </c>
      <c r="V26" t="s">
        <v>45</v>
      </c>
      <c r="W26" s="1">
        <v>40000</v>
      </c>
    </row>
    <row r="27" spans="2:23" x14ac:dyDescent="0.3">
      <c r="F27">
        <v>62</v>
      </c>
      <c r="G27">
        <v>17</v>
      </c>
      <c r="J27">
        <v>130</v>
      </c>
      <c r="K27">
        <v>52</v>
      </c>
      <c r="N27">
        <v>235</v>
      </c>
      <c r="O27">
        <v>1</v>
      </c>
      <c r="U27" t="s">
        <v>47</v>
      </c>
      <c r="V27" t="s">
        <v>48</v>
      </c>
      <c r="W27" s="1">
        <v>40000</v>
      </c>
    </row>
    <row r="28" spans="2:23" x14ac:dyDescent="0.3">
      <c r="F28">
        <v>81</v>
      </c>
      <c r="G28">
        <v>16</v>
      </c>
      <c r="J28">
        <v>119</v>
      </c>
      <c r="K28">
        <v>52</v>
      </c>
      <c r="N28">
        <v>225</v>
      </c>
      <c r="O28">
        <v>1</v>
      </c>
      <c r="U28" t="s">
        <v>49</v>
      </c>
      <c r="V28" t="s">
        <v>48</v>
      </c>
      <c r="W28" s="1">
        <v>40000</v>
      </c>
    </row>
    <row r="29" spans="2:23" x14ac:dyDescent="0.3">
      <c r="F29">
        <v>77</v>
      </c>
      <c r="G29">
        <v>16</v>
      </c>
      <c r="J29">
        <v>132</v>
      </c>
      <c r="K29">
        <v>51</v>
      </c>
      <c r="N29">
        <v>222</v>
      </c>
      <c r="O29">
        <v>2</v>
      </c>
      <c r="U29" t="s">
        <v>50</v>
      </c>
      <c r="V29" t="s">
        <v>45</v>
      </c>
      <c r="W29" s="1">
        <v>40000</v>
      </c>
    </row>
    <row r="30" spans="2:23" x14ac:dyDescent="0.3">
      <c r="F30">
        <v>52</v>
      </c>
      <c r="G30">
        <v>16</v>
      </c>
      <c r="J30">
        <v>117</v>
      </c>
      <c r="K30">
        <v>51</v>
      </c>
      <c r="N30">
        <v>211</v>
      </c>
      <c r="O30">
        <v>1</v>
      </c>
      <c r="U30" t="s">
        <v>51</v>
      </c>
      <c r="V30" t="s">
        <v>48</v>
      </c>
      <c r="W30" s="1">
        <v>40000</v>
      </c>
    </row>
    <row r="31" spans="2:23" x14ac:dyDescent="0.3">
      <c r="F31">
        <v>76</v>
      </c>
      <c r="G31">
        <v>15</v>
      </c>
      <c r="J31">
        <v>108</v>
      </c>
      <c r="K31">
        <v>51</v>
      </c>
      <c r="N31">
        <v>203</v>
      </c>
      <c r="O31">
        <v>2</v>
      </c>
      <c r="U31" t="s">
        <v>52</v>
      </c>
      <c r="V31" t="s">
        <v>48</v>
      </c>
      <c r="W31" s="1">
        <v>40000</v>
      </c>
    </row>
    <row r="32" spans="2:23" x14ac:dyDescent="0.3">
      <c r="F32">
        <v>105</v>
      </c>
      <c r="G32">
        <v>15</v>
      </c>
      <c r="J32">
        <v>155</v>
      </c>
      <c r="K32">
        <v>50</v>
      </c>
      <c r="N32">
        <v>189</v>
      </c>
      <c r="O32">
        <v>2</v>
      </c>
      <c r="U32" t="s">
        <v>53</v>
      </c>
      <c r="V32" t="s">
        <v>48</v>
      </c>
      <c r="W32" s="1">
        <v>40000</v>
      </c>
    </row>
    <row r="33" spans="6:23" x14ac:dyDescent="0.3">
      <c r="F33">
        <v>89</v>
      </c>
      <c r="G33">
        <v>14</v>
      </c>
      <c r="J33">
        <v>114</v>
      </c>
      <c r="K33">
        <v>50</v>
      </c>
      <c r="N33">
        <v>183</v>
      </c>
      <c r="O33">
        <v>3</v>
      </c>
      <c r="U33" t="s">
        <v>54</v>
      </c>
      <c r="V33" t="s">
        <v>17</v>
      </c>
      <c r="W33" s="1">
        <v>40060</v>
      </c>
    </row>
    <row r="34" spans="6:23" x14ac:dyDescent="0.3">
      <c r="F34">
        <v>71</v>
      </c>
      <c r="G34">
        <v>14</v>
      </c>
      <c r="J34">
        <v>123</v>
      </c>
      <c r="K34">
        <v>49</v>
      </c>
      <c r="N34">
        <v>162</v>
      </c>
      <c r="O34">
        <v>2</v>
      </c>
      <c r="U34" t="s">
        <v>55</v>
      </c>
      <c r="V34" t="s">
        <v>48</v>
      </c>
      <c r="W34" s="1">
        <v>40068</v>
      </c>
    </row>
    <row r="35" spans="6:23" x14ac:dyDescent="0.3">
      <c r="F35">
        <v>86</v>
      </c>
      <c r="G35">
        <v>13</v>
      </c>
      <c r="J35">
        <v>143</v>
      </c>
      <c r="K35">
        <v>48</v>
      </c>
      <c r="N35">
        <v>156</v>
      </c>
      <c r="O35">
        <v>1</v>
      </c>
      <c r="U35" t="s">
        <v>56</v>
      </c>
      <c r="V35" t="s">
        <v>17</v>
      </c>
      <c r="W35" s="1">
        <v>40080</v>
      </c>
    </row>
    <row r="36" spans="6:23" x14ac:dyDescent="0.3">
      <c r="F36">
        <v>45</v>
      </c>
      <c r="G36">
        <v>13</v>
      </c>
      <c r="J36">
        <v>149</v>
      </c>
      <c r="K36">
        <v>47</v>
      </c>
      <c r="N36">
        <v>147</v>
      </c>
      <c r="O36">
        <v>3</v>
      </c>
      <c r="U36" t="s">
        <v>57</v>
      </c>
      <c r="V36" t="s">
        <v>48</v>
      </c>
      <c r="W36" s="1">
        <v>40135</v>
      </c>
    </row>
    <row r="37" spans="6:23" x14ac:dyDescent="0.3">
      <c r="F37">
        <v>100</v>
      </c>
      <c r="G37">
        <v>13</v>
      </c>
      <c r="J37">
        <v>134</v>
      </c>
      <c r="K37">
        <v>47</v>
      </c>
      <c r="N37">
        <v>121</v>
      </c>
      <c r="O37">
        <v>1</v>
      </c>
      <c r="U37" t="s">
        <v>58</v>
      </c>
      <c r="V37" t="s">
        <v>59</v>
      </c>
      <c r="W37" s="1">
        <v>40</v>
      </c>
    </row>
    <row r="38" spans="6:23" x14ac:dyDescent="0.3">
      <c r="F38">
        <v>73</v>
      </c>
      <c r="G38">
        <v>12</v>
      </c>
      <c r="J38">
        <v>112</v>
      </c>
      <c r="K38">
        <v>47</v>
      </c>
      <c r="N38">
        <v>114</v>
      </c>
      <c r="O38">
        <v>2</v>
      </c>
      <c r="U38" t="s">
        <v>60</v>
      </c>
      <c r="V38" t="s">
        <v>23</v>
      </c>
      <c r="W38" s="1">
        <v>40</v>
      </c>
    </row>
    <row r="39" spans="6:23" x14ac:dyDescent="0.3">
      <c r="F39">
        <v>66</v>
      </c>
      <c r="G39">
        <v>12</v>
      </c>
      <c r="J39">
        <v>147</v>
      </c>
      <c r="K39">
        <v>46</v>
      </c>
      <c r="N39">
        <v>106</v>
      </c>
      <c r="O39">
        <v>1</v>
      </c>
      <c r="U39" t="s">
        <v>61</v>
      </c>
      <c r="V39" t="s">
        <v>29</v>
      </c>
      <c r="W39" s="1">
        <v>40</v>
      </c>
    </row>
    <row r="40" spans="6:23" x14ac:dyDescent="0.3">
      <c r="F40">
        <v>61</v>
      </c>
      <c r="G40">
        <v>12</v>
      </c>
      <c r="J40">
        <v>126</v>
      </c>
      <c r="K40">
        <v>46</v>
      </c>
      <c r="N40">
        <v>1787</v>
      </c>
      <c r="O40">
        <v>1</v>
      </c>
      <c r="U40" t="s">
        <v>62</v>
      </c>
      <c r="V40" t="s">
        <v>63</v>
      </c>
      <c r="W40" s="1">
        <v>40</v>
      </c>
    </row>
    <row r="41" spans="6:23" x14ac:dyDescent="0.3">
      <c r="F41">
        <v>67</v>
      </c>
      <c r="G41">
        <v>11</v>
      </c>
      <c r="J41">
        <v>188</v>
      </c>
      <c r="K41">
        <v>45</v>
      </c>
      <c r="N41">
        <v>1435</v>
      </c>
      <c r="O41">
        <v>2</v>
      </c>
      <c r="U41" t="s">
        <v>64</v>
      </c>
      <c r="V41" t="s">
        <v>65</v>
      </c>
      <c r="W41" s="1">
        <v>40</v>
      </c>
    </row>
    <row r="42" spans="6:23" x14ac:dyDescent="0.3">
      <c r="F42">
        <v>83</v>
      </c>
      <c r="G42">
        <v>10</v>
      </c>
      <c r="J42">
        <v>185</v>
      </c>
      <c r="K42">
        <v>45</v>
      </c>
      <c r="N42">
        <v>1259</v>
      </c>
      <c r="O42">
        <v>2</v>
      </c>
      <c r="U42" t="s">
        <v>66</v>
      </c>
      <c r="V42" t="s">
        <v>13</v>
      </c>
      <c r="W42" s="1">
        <v>400</v>
      </c>
    </row>
    <row r="43" spans="6:23" x14ac:dyDescent="0.3">
      <c r="F43">
        <v>74</v>
      </c>
      <c r="G43">
        <v>10</v>
      </c>
      <c r="J43">
        <v>136</v>
      </c>
      <c r="K43">
        <v>45</v>
      </c>
      <c r="N43">
        <v>1076</v>
      </c>
      <c r="O43">
        <v>2</v>
      </c>
      <c r="U43" t="s">
        <v>67</v>
      </c>
      <c r="V43" t="s">
        <v>17</v>
      </c>
      <c r="W43" s="1">
        <v>403</v>
      </c>
    </row>
    <row r="44" spans="6:23" x14ac:dyDescent="0.3">
      <c r="F44">
        <v>46</v>
      </c>
      <c r="G44">
        <v>10</v>
      </c>
      <c r="J44">
        <v>107</v>
      </c>
      <c r="K44">
        <v>45</v>
      </c>
      <c r="N44">
        <f>AVERAGE(N3:N43)</f>
        <v>2619.5853658536585</v>
      </c>
      <c r="O44">
        <f>SUBTOTAL(109,Table5[count])</f>
        <v>61</v>
      </c>
      <c r="U44" t="s">
        <v>68</v>
      </c>
      <c r="V44" t="s">
        <v>69</v>
      </c>
      <c r="W44" s="1">
        <v>405</v>
      </c>
    </row>
    <row r="45" spans="6:23" hidden="1" x14ac:dyDescent="0.3">
      <c r="F45">
        <v>40000</v>
      </c>
      <c r="G45">
        <v>10</v>
      </c>
      <c r="J45">
        <v>91</v>
      </c>
      <c r="K45">
        <v>44</v>
      </c>
      <c r="N45">
        <f>MEDIAN(N3:N43)</f>
        <v>308</v>
      </c>
      <c r="U45" t="s">
        <v>70</v>
      </c>
      <c r="V45" t="s">
        <v>71</v>
      </c>
      <c r="W45" s="1">
        <v>408</v>
      </c>
    </row>
    <row r="46" spans="6:23" x14ac:dyDescent="0.3">
      <c r="F46">
        <v>133</v>
      </c>
      <c r="G46">
        <v>10</v>
      </c>
      <c r="J46">
        <v>180</v>
      </c>
      <c r="K46">
        <v>44</v>
      </c>
      <c r="U46" t="s">
        <v>72</v>
      </c>
      <c r="V46" t="s">
        <v>73</v>
      </c>
      <c r="W46" s="1">
        <v>41</v>
      </c>
    </row>
    <row r="47" spans="6:23" x14ac:dyDescent="0.3">
      <c r="F47">
        <v>108</v>
      </c>
      <c r="G47">
        <v>10</v>
      </c>
      <c r="J47">
        <v>139</v>
      </c>
      <c r="K47">
        <v>44</v>
      </c>
      <c r="U47" t="s">
        <v>74</v>
      </c>
      <c r="V47" t="s">
        <v>75</v>
      </c>
      <c r="W47" s="1">
        <v>41</v>
      </c>
    </row>
    <row r="48" spans="6:23" x14ac:dyDescent="0.3">
      <c r="F48">
        <v>96</v>
      </c>
      <c r="G48">
        <v>9</v>
      </c>
      <c r="J48">
        <v>133</v>
      </c>
      <c r="K48">
        <v>42</v>
      </c>
      <c r="U48" t="s">
        <v>76</v>
      </c>
      <c r="V48" t="s">
        <v>77</v>
      </c>
      <c r="W48" s="1">
        <v>41</v>
      </c>
    </row>
    <row r="49" spans="6:23" x14ac:dyDescent="0.3">
      <c r="F49">
        <v>91</v>
      </c>
      <c r="G49">
        <v>9</v>
      </c>
      <c r="J49">
        <v>109</v>
      </c>
      <c r="K49">
        <v>42</v>
      </c>
      <c r="U49" t="s">
        <v>78</v>
      </c>
      <c r="V49" t="s">
        <v>77</v>
      </c>
      <c r="W49" s="1">
        <v>41</v>
      </c>
    </row>
    <row r="50" spans="6:23" x14ac:dyDescent="0.3">
      <c r="F50">
        <v>87</v>
      </c>
      <c r="G50">
        <v>9</v>
      </c>
      <c r="J50">
        <v>89</v>
      </c>
      <c r="K50">
        <v>41</v>
      </c>
      <c r="U50" t="s">
        <v>79</v>
      </c>
      <c r="V50" t="s">
        <v>80</v>
      </c>
      <c r="W50" s="1">
        <v>417</v>
      </c>
    </row>
    <row r="51" spans="6:23" x14ac:dyDescent="0.3">
      <c r="F51">
        <v>78</v>
      </c>
      <c r="G51">
        <v>9</v>
      </c>
      <c r="J51">
        <v>225</v>
      </c>
      <c r="K51">
        <v>41</v>
      </c>
      <c r="U51" t="s">
        <v>81</v>
      </c>
      <c r="V51" t="s">
        <v>80</v>
      </c>
      <c r="W51" s="1">
        <v>417</v>
      </c>
    </row>
    <row r="52" spans="6:23" x14ac:dyDescent="0.3">
      <c r="F52">
        <v>126</v>
      </c>
      <c r="G52">
        <v>9</v>
      </c>
      <c r="J52">
        <v>171</v>
      </c>
      <c r="K52">
        <v>41</v>
      </c>
      <c r="U52" t="s">
        <v>82</v>
      </c>
      <c r="V52" t="s">
        <v>39</v>
      </c>
      <c r="W52" s="1">
        <v>42</v>
      </c>
    </row>
    <row r="53" spans="6:23" x14ac:dyDescent="0.3">
      <c r="F53">
        <v>110</v>
      </c>
      <c r="G53">
        <v>9</v>
      </c>
      <c r="J53">
        <v>97</v>
      </c>
      <c r="K53">
        <v>40</v>
      </c>
      <c r="U53" t="s">
        <v>83</v>
      </c>
      <c r="V53" t="s">
        <v>75</v>
      </c>
      <c r="W53" s="1">
        <v>42</v>
      </c>
    </row>
    <row r="54" spans="6:23" x14ac:dyDescent="0.3">
      <c r="F54">
        <v>98</v>
      </c>
      <c r="G54">
        <v>8</v>
      </c>
      <c r="J54">
        <v>85</v>
      </c>
      <c r="K54">
        <v>40</v>
      </c>
      <c r="U54" t="s">
        <v>84</v>
      </c>
      <c r="V54" t="s">
        <v>17</v>
      </c>
      <c r="W54" s="1">
        <v>420</v>
      </c>
    </row>
    <row r="55" spans="6:23" x14ac:dyDescent="0.3">
      <c r="F55">
        <v>88</v>
      </c>
      <c r="G55">
        <v>8</v>
      </c>
      <c r="J55">
        <v>195</v>
      </c>
      <c r="K55">
        <v>40</v>
      </c>
      <c r="U55" t="s">
        <v>85</v>
      </c>
      <c r="V55" t="s">
        <v>17</v>
      </c>
      <c r="W55" s="1">
        <v>428</v>
      </c>
    </row>
    <row r="56" spans="6:23" x14ac:dyDescent="0.3">
      <c r="F56">
        <v>82</v>
      </c>
      <c r="G56">
        <v>8</v>
      </c>
      <c r="J56">
        <v>170</v>
      </c>
      <c r="K56">
        <v>40</v>
      </c>
      <c r="U56" t="s">
        <v>86</v>
      </c>
      <c r="V56" t="s">
        <v>45</v>
      </c>
      <c r="W56" s="1">
        <v>429</v>
      </c>
    </row>
    <row r="57" spans="6:23" x14ac:dyDescent="0.3">
      <c r="F57">
        <v>47</v>
      </c>
      <c r="G57">
        <v>8</v>
      </c>
      <c r="J57">
        <v>156</v>
      </c>
      <c r="K57">
        <v>40</v>
      </c>
      <c r="U57" t="s">
        <v>87</v>
      </c>
      <c r="V57" t="s">
        <v>37</v>
      </c>
      <c r="W57" s="1">
        <v>43</v>
      </c>
    </row>
    <row r="58" spans="6:23" x14ac:dyDescent="0.3">
      <c r="F58">
        <v>44</v>
      </c>
      <c r="G58">
        <v>8</v>
      </c>
      <c r="J58">
        <v>145</v>
      </c>
      <c r="K58">
        <v>40</v>
      </c>
      <c r="U58" t="s">
        <v>88</v>
      </c>
      <c r="V58" t="s">
        <v>73</v>
      </c>
      <c r="W58" s="1">
        <v>43</v>
      </c>
    </row>
    <row r="59" spans="6:23" x14ac:dyDescent="0.3">
      <c r="F59">
        <v>135</v>
      </c>
      <c r="G59">
        <v>8</v>
      </c>
      <c r="J59">
        <v>122</v>
      </c>
      <c r="K59">
        <v>40</v>
      </c>
      <c r="U59" t="s">
        <v>89</v>
      </c>
      <c r="V59" t="s">
        <v>90</v>
      </c>
      <c r="W59" s="1">
        <v>43</v>
      </c>
    </row>
    <row r="60" spans="6:23" x14ac:dyDescent="0.3">
      <c r="F60">
        <v>131</v>
      </c>
      <c r="G60">
        <v>8</v>
      </c>
      <c r="J60">
        <v>96</v>
      </c>
      <c r="K60">
        <v>39</v>
      </c>
      <c r="U60" t="s">
        <v>91</v>
      </c>
      <c r="V60" t="s">
        <v>39</v>
      </c>
      <c r="W60" s="1">
        <v>43</v>
      </c>
    </row>
    <row r="61" spans="6:23" x14ac:dyDescent="0.3">
      <c r="F61">
        <v>128</v>
      </c>
      <c r="G61">
        <v>8</v>
      </c>
      <c r="J61">
        <v>94</v>
      </c>
      <c r="K61">
        <v>39</v>
      </c>
      <c r="U61" t="s">
        <v>92</v>
      </c>
      <c r="V61" t="s">
        <v>13</v>
      </c>
      <c r="W61" s="1">
        <v>433</v>
      </c>
    </row>
    <row r="62" spans="6:23" x14ac:dyDescent="0.3">
      <c r="F62">
        <v>116</v>
      </c>
      <c r="G62">
        <v>8</v>
      </c>
      <c r="J62">
        <v>250</v>
      </c>
      <c r="K62">
        <v>39</v>
      </c>
      <c r="U62" t="s">
        <v>93</v>
      </c>
      <c r="V62" t="s">
        <v>21</v>
      </c>
      <c r="W62" s="1">
        <v>44</v>
      </c>
    </row>
    <row r="63" spans="6:23" x14ac:dyDescent="0.3">
      <c r="F63">
        <v>99</v>
      </c>
      <c r="G63">
        <v>7</v>
      </c>
      <c r="J63">
        <v>158</v>
      </c>
      <c r="K63">
        <v>39</v>
      </c>
      <c r="U63" t="s">
        <v>94</v>
      </c>
      <c r="V63" t="s">
        <v>75</v>
      </c>
      <c r="W63" s="1">
        <v>44</v>
      </c>
    </row>
    <row r="64" spans="6:23" x14ac:dyDescent="0.3">
      <c r="F64">
        <v>92</v>
      </c>
      <c r="G64">
        <v>7</v>
      </c>
      <c r="J64">
        <v>131</v>
      </c>
      <c r="K64">
        <v>39</v>
      </c>
      <c r="U64" t="s">
        <v>95</v>
      </c>
      <c r="V64" t="s">
        <v>75</v>
      </c>
      <c r="W64" s="1">
        <v>44</v>
      </c>
    </row>
    <row r="65" spans="6:23" x14ac:dyDescent="0.3">
      <c r="F65">
        <v>84</v>
      </c>
      <c r="G65">
        <v>7</v>
      </c>
      <c r="J65">
        <v>127</v>
      </c>
      <c r="K65">
        <v>39</v>
      </c>
      <c r="U65" t="s">
        <v>96</v>
      </c>
      <c r="V65" t="s">
        <v>97</v>
      </c>
      <c r="W65" s="1">
        <v>44</v>
      </c>
    </row>
    <row r="66" spans="6:23" x14ac:dyDescent="0.3">
      <c r="F66">
        <v>49</v>
      </c>
      <c r="G66">
        <v>7</v>
      </c>
      <c r="J66">
        <v>124</v>
      </c>
      <c r="K66">
        <v>38</v>
      </c>
      <c r="U66" t="s">
        <v>98</v>
      </c>
      <c r="V66" t="s">
        <v>21</v>
      </c>
      <c r="W66" s="1">
        <v>44</v>
      </c>
    </row>
    <row r="67" spans="6:23" x14ac:dyDescent="0.3">
      <c r="F67">
        <v>150</v>
      </c>
      <c r="G67">
        <v>7</v>
      </c>
      <c r="J67">
        <v>270</v>
      </c>
      <c r="K67">
        <v>37</v>
      </c>
      <c r="U67" t="s">
        <v>99</v>
      </c>
      <c r="V67" t="s">
        <v>45</v>
      </c>
      <c r="W67" s="1">
        <v>44</v>
      </c>
    </row>
    <row r="68" spans="6:23" x14ac:dyDescent="0.3">
      <c r="F68">
        <v>130</v>
      </c>
      <c r="G68">
        <v>7</v>
      </c>
      <c r="J68">
        <v>111</v>
      </c>
      <c r="K68">
        <v>37</v>
      </c>
      <c r="U68" t="s">
        <v>100</v>
      </c>
      <c r="V68" t="s">
        <v>101</v>
      </c>
      <c r="W68" s="1">
        <v>44</v>
      </c>
    </row>
    <row r="69" spans="6:23" x14ac:dyDescent="0.3">
      <c r="F69">
        <v>125</v>
      </c>
      <c r="G69">
        <v>7</v>
      </c>
      <c r="J69">
        <v>167</v>
      </c>
      <c r="K69">
        <v>36</v>
      </c>
      <c r="U69" t="s">
        <v>102</v>
      </c>
      <c r="V69" t="s">
        <v>25</v>
      </c>
      <c r="W69" s="1">
        <v>44</v>
      </c>
    </row>
    <row r="70" spans="6:23" x14ac:dyDescent="0.3">
      <c r="F70">
        <v>123</v>
      </c>
      <c r="G70">
        <v>7</v>
      </c>
      <c r="J70">
        <v>146</v>
      </c>
      <c r="K70">
        <v>36</v>
      </c>
      <c r="U70" t="s">
        <v>103</v>
      </c>
      <c r="V70" t="s">
        <v>15</v>
      </c>
      <c r="W70" s="1">
        <v>445</v>
      </c>
    </row>
    <row r="71" spans="6:23" x14ac:dyDescent="0.3">
      <c r="F71">
        <v>109</v>
      </c>
      <c r="G71">
        <v>7</v>
      </c>
      <c r="J71">
        <v>141</v>
      </c>
      <c r="K71">
        <v>36</v>
      </c>
      <c r="U71" t="s">
        <v>104</v>
      </c>
      <c r="V71" t="s">
        <v>15</v>
      </c>
      <c r="W71" s="1">
        <v>445</v>
      </c>
    </row>
    <row r="72" spans="6:23" x14ac:dyDescent="0.3">
      <c r="F72">
        <v>106</v>
      </c>
      <c r="G72">
        <v>7</v>
      </c>
      <c r="J72">
        <v>138</v>
      </c>
      <c r="K72">
        <v>36</v>
      </c>
      <c r="U72" t="s">
        <v>105</v>
      </c>
      <c r="V72" t="s">
        <v>63</v>
      </c>
      <c r="W72" s="1">
        <v>45</v>
      </c>
    </row>
    <row r="73" spans="6:23" x14ac:dyDescent="0.3">
      <c r="F73">
        <v>104</v>
      </c>
      <c r="G73">
        <v>7</v>
      </c>
      <c r="J73">
        <v>118</v>
      </c>
      <c r="K73">
        <v>36</v>
      </c>
      <c r="U73" t="s">
        <v>106</v>
      </c>
      <c r="V73" t="s">
        <v>75</v>
      </c>
      <c r="W73" s="1">
        <v>45</v>
      </c>
    </row>
    <row r="74" spans="6:23" x14ac:dyDescent="0.3">
      <c r="F74">
        <v>93</v>
      </c>
      <c r="G74">
        <v>6</v>
      </c>
      <c r="J74">
        <v>103</v>
      </c>
      <c r="K74">
        <v>36</v>
      </c>
      <c r="U74" t="s">
        <v>107</v>
      </c>
      <c r="V74" t="s">
        <v>45</v>
      </c>
      <c r="W74" s="1">
        <v>45</v>
      </c>
    </row>
    <row r="75" spans="6:23" x14ac:dyDescent="0.3">
      <c r="F75">
        <v>160</v>
      </c>
      <c r="G75">
        <v>6</v>
      </c>
      <c r="J75">
        <v>190</v>
      </c>
      <c r="K75">
        <v>35</v>
      </c>
      <c r="U75" t="s">
        <v>108</v>
      </c>
      <c r="V75" t="s">
        <v>77</v>
      </c>
      <c r="W75" s="1">
        <v>45</v>
      </c>
    </row>
    <row r="76" spans="6:23" x14ac:dyDescent="0.3">
      <c r="F76">
        <v>118</v>
      </c>
      <c r="G76">
        <v>6</v>
      </c>
      <c r="J76">
        <v>179</v>
      </c>
      <c r="K76">
        <v>35</v>
      </c>
      <c r="U76" t="s">
        <v>109</v>
      </c>
      <c r="V76" t="s">
        <v>90</v>
      </c>
      <c r="W76" s="1">
        <v>45</v>
      </c>
    </row>
    <row r="77" spans="6:23" x14ac:dyDescent="0.3">
      <c r="F77">
        <v>102</v>
      </c>
      <c r="G77">
        <v>6</v>
      </c>
      <c r="J77">
        <v>177</v>
      </c>
      <c r="K77">
        <v>35</v>
      </c>
      <c r="U77" t="s">
        <v>110</v>
      </c>
      <c r="V77" t="s">
        <v>73</v>
      </c>
      <c r="W77" s="1">
        <v>45</v>
      </c>
    </row>
    <row r="78" spans="6:23" x14ac:dyDescent="0.3">
      <c r="F78">
        <v>40</v>
      </c>
      <c r="G78">
        <v>5</v>
      </c>
      <c r="J78">
        <v>152</v>
      </c>
      <c r="K78">
        <v>35</v>
      </c>
      <c r="U78" t="s">
        <v>111</v>
      </c>
      <c r="V78" t="s">
        <v>112</v>
      </c>
      <c r="W78" s="1">
        <v>45</v>
      </c>
    </row>
    <row r="79" spans="6:23" x14ac:dyDescent="0.3">
      <c r="F79">
        <v>172</v>
      </c>
      <c r="G79">
        <v>5</v>
      </c>
      <c r="J79">
        <v>88</v>
      </c>
      <c r="K79">
        <v>34</v>
      </c>
      <c r="U79" t="s">
        <v>113</v>
      </c>
      <c r="V79" t="s">
        <v>114</v>
      </c>
      <c r="W79" s="1">
        <v>45</v>
      </c>
    </row>
    <row r="80" spans="6:23" x14ac:dyDescent="0.3">
      <c r="F80">
        <v>122</v>
      </c>
      <c r="G80">
        <v>5</v>
      </c>
      <c r="J80">
        <v>87</v>
      </c>
      <c r="K80">
        <v>34</v>
      </c>
      <c r="U80" t="s">
        <v>115</v>
      </c>
      <c r="V80" t="s">
        <v>37</v>
      </c>
      <c r="W80" s="1">
        <v>45</v>
      </c>
    </row>
    <row r="81" spans="6:23" x14ac:dyDescent="0.3">
      <c r="F81">
        <v>120</v>
      </c>
      <c r="G81">
        <v>5</v>
      </c>
      <c r="J81">
        <v>300</v>
      </c>
      <c r="K81">
        <v>34</v>
      </c>
      <c r="U81" t="s">
        <v>116</v>
      </c>
      <c r="V81" t="s">
        <v>11</v>
      </c>
      <c r="W81" s="1">
        <v>45</v>
      </c>
    </row>
    <row r="82" spans="6:23" x14ac:dyDescent="0.3">
      <c r="F82">
        <v>111</v>
      </c>
      <c r="G82">
        <v>5</v>
      </c>
      <c r="J82">
        <v>215</v>
      </c>
      <c r="K82">
        <v>34</v>
      </c>
      <c r="U82" t="s">
        <v>117</v>
      </c>
      <c r="V82" t="s">
        <v>63</v>
      </c>
      <c r="W82" s="1">
        <v>45</v>
      </c>
    </row>
    <row r="83" spans="6:23" x14ac:dyDescent="0.3">
      <c r="F83">
        <v>103</v>
      </c>
      <c r="G83">
        <v>5</v>
      </c>
      <c r="J83">
        <v>199</v>
      </c>
      <c r="K83">
        <v>34</v>
      </c>
      <c r="U83" t="s">
        <v>118</v>
      </c>
      <c r="V83" t="s">
        <v>39</v>
      </c>
      <c r="W83" s="1">
        <v>45</v>
      </c>
    </row>
    <row r="84" spans="6:23" x14ac:dyDescent="0.3">
      <c r="F84">
        <v>101</v>
      </c>
      <c r="G84">
        <v>5</v>
      </c>
      <c r="J84">
        <v>173</v>
      </c>
      <c r="K84">
        <v>34</v>
      </c>
      <c r="U84" t="s">
        <v>119</v>
      </c>
      <c r="V84" t="s">
        <v>75</v>
      </c>
      <c r="W84" s="1">
        <v>45</v>
      </c>
    </row>
    <row r="85" spans="6:23" x14ac:dyDescent="0.3">
      <c r="F85">
        <v>97</v>
      </c>
      <c r="G85">
        <v>4</v>
      </c>
      <c r="J85">
        <v>153</v>
      </c>
      <c r="K85">
        <v>34</v>
      </c>
      <c r="U85" t="s">
        <v>120</v>
      </c>
      <c r="V85" t="s">
        <v>69</v>
      </c>
      <c r="W85" s="1">
        <v>450</v>
      </c>
    </row>
    <row r="86" spans="6:23" x14ac:dyDescent="0.3">
      <c r="F86">
        <v>94</v>
      </c>
      <c r="G86">
        <v>4</v>
      </c>
      <c r="J86">
        <v>104</v>
      </c>
      <c r="K86">
        <v>34</v>
      </c>
      <c r="U86" t="s">
        <v>121</v>
      </c>
      <c r="V86" t="s">
        <v>42</v>
      </c>
      <c r="W86" s="1">
        <v>46</v>
      </c>
    </row>
    <row r="87" spans="6:23" hidden="1" x14ac:dyDescent="0.3">
      <c r="F87">
        <v>50020</v>
      </c>
      <c r="G87">
        <v>4</v>
      </c>
      <c r="J87">
        <v>233</v>
      </c>
      <c r="K87">
        <v>33</v>
      </c>
      <c r="U87" t="s">
        <v>122</v>
      </c>
      <c r="V87" t="s">
        <v>29</v>
      </c>
      <c r="W87" s="1">
        <v>46</v>
      </c>
    </row>
    <row r="88" spans="6:23" x14ac:dyDescent="0.3">
      <c r="F88">
        <v>43</v>
      </c>
      <c r="G88">
        <v>4</v>
      </c>
      <c r="J88">
        <v>212</v>
      </c>
      <c r="K88">
        <v>33</v>
      </c>
      <c r="U88" t="s">
        <v>123</v>
      </c>
      <c r="V88" t="s">
        <v>39</v>
      </c>
      <c r="W88" s="1">
        <v>46</v>
      </c>
    </row>
    <row r="89" spans="6:23" x14ac:dyDescent="0.3">
      <c r="F89">
        <v>41</v>
      </c>
      <c r="G89">
        <v>4</v>
      </c>
      <c r="J89">
        <v>161</v>
      </c>
      <c r="K89">
        <v>33</v>
      </c>
      <c r="U89" t="s">
        <v>124</v>
      </c>
      <c r="V89" t="s">
        <v>25</v>
      </c>
      <c r="W89" s="1">
        <v>46</v>
      </c>
    </row>
    <row r="90" spans="6:23" x14ac:dyDescent="0.3">
      <c r="F90">
        <v>234</v>
      </c>
      <c r="G90">
        <v>4</v>
      </c>
      <c r="J90">
        <v>92</v>
      </c>
      <c r="K90">
        <v>32</v>
      </c>
      <c r="U90" t="s">
        <v>125</v>
      </c>
      <c r="V90" t="s">
        <v>73</v>
      </c>
      <c r="W90" s="1">
        <v>46</v>
      </c>
    </row>
    <row r="91" spans="6:23" x14ac:dyDescent="0.3">
      <c r="F91">
        <v>185</v>
      </c>
      <c r="G91">
        <v>4</v>
      </c>
      <c r="J91">
        <v>183</v>
      </c>
      <c r="K91">
        <v>32</v>
      </c>
      <c r="U91" t="s">
        <v>126</v>
      </c>
      <c r="V91" t="s">
        <v>127</v>
      </c>
      <c r="W91" s="1">
        <v>46</v>
      </c>
    </row>
    <row r="92" spans="6:23" x14ac:dyDescent="0.3">
      <c r="F92">
        <v>175</v>
      </c>
      <c r="G92">
        <v>4</v>
      </c>
      <c r="J92">
        <v>176</v>
      </c>
      <c r="K92">
        <v>32</v>
      </c>
      <c r="U92" t="s">
        <v>128</v>
      </c>
      <c r="V92" t="s">
        <v>65</v>
      </c>
      <c r="W92" s="1">
        <v>46</v>
      </c>
    </row>
    <row r="93" spans="6:23" x14ac:dyDescent="0.3">
      <c r="F93">
        <v>157</v>
      </c>
      <c r="G93">
        <v>4</v>
      </c>
      <c r="J93">
        <v>157</v>
      </c>
      <c r="K93">
        <v>32</v>
      </c>
      <c r="U93" t="s">
        <v>129</v>
      </c>
      <c r="V93" t="s">
        <v>73</v>
      </c>
      <c r="W93" s="1">
        <v>46</v>
      </c>
    </row>
    <row r="94" spans="6:23" x14ac:dyDescent="0.3">
      <c r="F94">
        <v>145</v>
      </c>
      <c r="G94">
        <v>4</v>
      </c>
      <c r="J94">
        <v>142</v>
      </c>
      <c r="K94">
        <v>32</v>
      </c>
      <c r="U94" t="s">
        <v>130</v>
      </c>
      <c r="V94" t="s">
        <v>65</v>
      </c>
      <c r="W94" s="1">
        <v>46</v>
      </c>
    </row>
    <row r="95" spans="6:23" x14ac:dyDescent="0.3">
      <c r="F95">
        <v>143</v>
      </c>
      <c r="G95">
        <v>4</v>
      </c>
      <c r="J95">
        <v>101</v>
      </c>
      <c r="K95">
        <v>32</v>
      </c>
      <c r="U95" t="s">
        <v>131</v>
      </c>
      <c r="V95" t="s">
        <v>63</v>
      </c>
      <c r="W95" s="1">
        <v>46</v>
      </c>
    </row>
    <row r="96" spans="6:23" x14ac:dyDescent="0.3">
      <c r="F96">
        <v>142</v>
      </c>
      <c r="G96">
        <v>4</v>
      </c>
      <c r="J96">
        <v>98</v>
      </c>
      <c r="K96">
        <v>31</v>
      </c>
      <c r="U96" t="s">
        <v>132</v>
      </c>
      <c r="V96" t="s">
        <v>69</v>
      </c>
      <c r="W96" s="1">
        <v>463</v>
      </c>
    </row>
    <row r="97" spans="6:23" x14ac:dyDescent="0.3">
      <c r="F97">
        <v>139</v>
      </c>
      <c r="G97">
        <v>4</v>
      </c>
      <c r="J97">
        <v>205</v>
      </c>
      <c r="K97">
        <v>31</v>
      </c>
      <c r="U97" t="s">
        <v>133</v>
      </c>
      <c r="V97" t="s">
        <v>17</v>
      </c>
      <c r="W97" s="1">
        <v>466</v>
      </c>
    </row>
    <row r="98" spans="6:23" x14ac:dyDescent="0.3">
      <c r="F98">
        <v>124</v>
      </c>
      <c r="G98">
        <v>4</v>
      </c>
      <c r="J98">
        <v>196</v>
      </c>
      <c r="K98">
        <v>31</v>
      </c>
      <c r="U98" t="s">
        <v>134</v>
      </c>
      <c r="V98" t="s">
        <v>39</v>
      </c>
      <c r="W98" s="1">
        <v>47</v>
      </c>
    </row>
    <row r="99" spans="6:23" x14ac:dyDescent="0.3">
      <c r="F99">
        <v>115</v>
      </c>
      <c r="G99">
        <v>4</v>
      </c>
      <c r="J99">
        <v>192</v>
      </c>
      <c r="K99">
        <v>31</v>
      </c>
      <c r="U99" t="s">
        <v>135</v>
      </c>
      <c r="V99" t="s">
        <v>73</v>
      </c>
      <c r="W99" s="1">
        <v>47</v>
      </c>
    </row>
    <row r="100" spans="6:23" x14ac:dyDescent="0.3">
      <c r="F100">
        <v>114</v>
      </c>
      <c r="G100">
        <v>4</v>
      </c>
      <c r="J100">
        <v>178</v>
      </c>
      <c r="K100">
        <v>31</v>
      </c>
      <c r="U100" t="s">
        <v>136</v>
      </c>
      <c r="V100" t="s">
        <v>137</v>
      </c>
      <c r="W100" s="1">
        <v>47</v>
      </c>
    </row>
    <row r="101" spans="6:23" x14ac:dyDescent="0.3">
      <c r="F101">
        <v>113</v>
      </c>
      <c r="G101">
        <v>4</v>
      </c>
      <c r="J101">
        <v>164</v>
      </c>
      <c r="K101">
        <v>31</v>
      </c>
      <c r="U101" t="s">
        <v>138</v>
      </c>
      <c r="V101" t="s">
        <v>73</v>
      </c>
      <c r="W101" s="1">
        <v>47</v>
      </c>
    </row>
    <row r="102" spans="6:23" hidden="1" x14ac:dyDescent="0.3">
      <c r="F102">
        <v>9999</v>
      </c>
      <c r="G102">
        <v>3</v>
      </c>
      <c r="J102">
        <v>154</v>
      </c>
      <c r="K102">
        <v>31</v>
      </c>
      <c r="U102" t="s">
        <v>139</v>
      </c>
      <c r="V102" t="s">
        <v>140</v>
      </c>
      <c r="W102" s="1">
        <v>47</v>
      </c>
    </row>
    <row r="103" spans="6:23" hidden="1" x14ac:dyDescent="0.3">
      <c r="F103">
        <v>50000</v>
      </c>
      <c r="G103">
        <v>3</v>
      </c>
      <c r="J103">
        <v>137</v>
      </c>
      <c r="K103">
        <v>31</v>
      </c>
      <c r="U103" t="s">
        <v>141</v>
      </c>
      <c r="V103" t="s">
        <v>90</v>
      </c>
      <c r="W103" s="1">
        <v>47</v>
      </c>
    </row>
    <row r="104" spans="6:23" x14ac:dyDescent="0.3">
      <c r="F104">
        <v>39</v>
      </c>
      <c r="G104">
        <v>3</v>
      </c>
      <c r="J104">
        <v>218</v>
      </c>
      <c r="K104">
        <v>30</v>
      </c>
      <c r="U104" t="s">
        <v>142</v>
      </c>
      <c r="V104" t="s">
        <v>143</v>
      </c>
      <c r="W104" s="1">
        <v>47</v>
      </c>
    </row>
    <row r="105" spans="6:23" x14ac:dyDescent="0.3">
      <c r="F105">
        <v>36</v>
      </c>
      <c r="G105">
        <v>3</v>
      </c>
      <c r="J105">
        <v>198</v>
      </c>
      <c r="K105">
        <v>30</v>
      </c>
      <c r="U105" t="s">
        <v>144</v>
      </c>
      <c r="V105" t="s">
        <v>77</v>
      </c>
      <c r="W105" s="1">
        <v>47</v>
      </c>
    </row>
    <row r="106" spans="6:23" x14ac:dyDescent="0.3">
      <c r="F106">
        <v>35</v>
      </c>
      <c r="G106">
        <v>3</v>
      </c>
      <c r="J106">
        <v>193</v>
      </c>
      <c r="K106">
        <v>30</v>
      </c>
      <c r="U106" t="s">
        <v>145</v>
      </c>
      <c r="V106" t="s">
        <v>146</v>
      </c>
      <c r="W106" s="1">
        <v>48</v>
      </c>
    </row>
    <row r="107" spans="6:23" x14ac:dyDescent="0.3">
      <c r="F107">
        <v>240</v>
      </c>
      <c r="G107">
        <v>3</v>
      </c>
      <c r="J107">
        <v>169</v>
      </c>
      <c r="K107">
        <v>30</v>
      </c>
      <c r="U107" t="s">
        <v>147</v>
      </c>
      <c r="V107" t="s">
        <v>148</v>
      </c>
      <c r="W107" s="1">
        <v>48</v>
      </c>
    </row>
    <row r="108" spans="6:23" x14ac:dyDescent="0.3">
      <c r="F108">
        <v>237</v>
      </c>
      <c r="G108">
        <v>3</v>
      </c>
      <c r="J108">
        <v>106</v>
      </c>
      <c r="K108">
        <v>30</v>
      </c>
      <c r="U108" t="s">
        <v>149</v>
      </c>
      <c r="V108" t="s">
        <v>150</v>
      </c>
      <c r="W108" s="1">
        <v>48</v>
      </c>
    </row>
    <row r="109" spans="6:23" x14ac:dyDescent="0.3">
      <c r="F109">
        <v>216</v>
      </c>
      <c r="G109">
        <v>3</v>
      </c>
      <c r="J109">
        <v>80</v>
      </c>
      <c r="K109">
        <v>29</v>
      </c>
      <c r="U109" t="s">
        <v>151</v>
      </c>
      <c r="V109" t="s">
        <v>42</v>
      </c>
      <c r="W109" s="1">
        <v>48</v>
      </c>
    </row>
    <row r="110" spans="6:23" x14ac:dyDescent="0.3">
      <c r="F110">
        <v>189</v>
      </c>
      <c r="G110">
        <v>3</v>
      </c>
      <c r="J110">
        <v>299</v>
      </c>
      <c r="K110">
        <v>29</v>
      </c>
      <c r="U110" t="s">
        <v>152</v>
      </c>
      <c r="V110" t="s">
        <v>11</v>
      </c>
      <c r="W110" s="1">
        <v>48</v>
      </c>
    </row>
    <row r="111" spans="6:23" x14ac:dyDescent="0.3">
      <c r="F111">
        <v>188</v>
      </c>
      <c r="G111">
        <v>3</v>
      </c>
      <c r="J111">
        <v>211</v>
      </c>
      <c r="K111">
        <v>29</v>
      </c>
      <c r="U111" t="s">
        <v>153</v>
      </c>
      <c r="V111" t="s">
        <v>42</v>
      </c>
      <c r="W111" s="1">
        <v>48</v>
      </c>
    </row>
    <row r="112" spans="6:23" x14ac:dyDescent="0.3">
      <c r="F112">
        <v>187</v>
      </c>
      <c r="G112">
        <v>3</v>
      </c>
      <c r="J112">
        <v>207</v>
      </c>
      <c r="K112">
        <v>29</v>
      </c>
      <c r="U112" t="s">
        <v>154</v>
      </c>
      <c r="V112" t="s">
        <v>42</v>
      </c>
      <c r="W112" s="1">
        <v>48</v>
      </c>
    </row>
    <row r="113" spans="6:23" x14ac:dyDescent="0.3">
      <c r="F113">
        <v>170</v>
      </c>
      <c r="G113">
        <v>3</v>
      </c>
      <c r="J113">
        <v>204</v>
      </c>
      <c r="K113">
        <v>29</v>
      </c>
      <c r="U113" t="s">
        <v>155</v>
      </c>
      <c r="V113" t="s">
        <v>59</v>
      </c>
      <c r="W113" s="1">
        <v>48</v>
      </c>
    </row>
    <row r="114" spans="6:23" x14ac:dyDescent="0.3">
      <c r="F114">
        <v>168</v>
      </c>
      <c r="G114">
        <v>3</v>
      </c>
      <c r="J114">
        <v>201</v>
      </c>
      <c r="K114">
        <v>29</v>
      </c>
      <c r="U114" t="s">
        <v>156</v>
      </c>
      <c r="V114" t="s">
        <v>146</v>
      </c>
      <c r="W114" s="1">
        <v>48</v>
      </c>
    </row>
    <row r="115" spans="6:23" x14ac:dyDescent="0.3">
      <c r="F115">
        <v>163</v>
      </c>
      <c r="G115">
        <v>3</v>
      </c>
      <c r="J115">
        <v>194</v>
      </c>
      <c r="K115">
        <v>29</v>
      </c>
      <c r="U115" t="s">
        <v>157</v>
      </c>
      <c r="V115" t="s">
        <v>158</v>
      </c>
      <c r="W115" s="1">
        <v>48</v>
      </c>
    </row>
    <row r="116" spans="6:23" x14ac:dyDescent="0.3">
      <c r="F116">
        <v>155</v>
      </c>
      <c r="G116">
        <v>3</v>
      </c>
      <c r="J116">
        <v>166</v>
      </c>
      <c r="K116">
        <v>29</v>
      </c>
      <c r="U116" t="s">
        <v>159</v>
      </c>
      <c r="V116" t="s">
        <v>11</v>
      </c>
      <c r="W116" s="1">
        <v>48</v>
      </c>
    </row>
    <row r="117" spans="6:23" x14ac:dyDescent="0.3">
      <c r="F117">
        <v>152</v>
      </c>
      <c r="G117">
        <v>3</v>
      </c>
      <c r="J117">
        <v>159</v>
      </c>
      <c r="K117">
        <v>29</v>
      </c>
      <c r="U117" t="s">
        <v>160</v>
      </c>
      <c r="V117" t="s">
        <v>77</v>
      </c>
      <c r="W117" s="1">
        <v>48</v>
      </c>
    </row>
    <row r="118" spans="6:23" x14ac:dyDescent="0.3">
      <c r="F118">
        <v>148</v>
      </c>
      <c r="G118">
        <v>3</v>
      </c>
      <c r="J118">
        <v>223</v>
      </c>
      <c r="K118">
        <v>28</v>
      </c>
      <c r="U118" t="s">
        <v>161</v>
      </c>
      <c r="V118" t="s">
        <v>59</v>
      </c>
      <c r="W118" s="1">
        <v>48</v>
      </c>
    </row>
    <row r="119" spans="6:23" x14ac:dyDescent="0.3">
      <c r="F119">
        <v>147</v>
      </c>
      <c r="G119">
        <v>3</v>
      </c>
      <c r="J119">
        <v>210</v>
      </c>
      <c r="K119">
        <v>28</v>
      </c>
      <c r="U119" t="s">
        <v>162</v>
      </c>
      <c r="V119" t="s">
        <v>158</v>
      </c>
      <c r="W119" s="1">
        <v>48</v>
      </c>
    </row>
    <row r="120" spans="6:23" x14ac:dyDescent="0.3">
      <c r="F120">
        <v>144</v>
      </c>
      <c r="G120">
        <v>3</v>
      </c>
      <c r="J120">
        <v>163</v>
      </c>
      <c r="K120">
        <v>28</v>
      </c>
      <c r="U120" t="s">
        <v>163</v>
      </c>
      <c r="V120" t="s">
        <v>164</v>
      </c>
      <c r="W120" s="1">
        <v>48</v>
      </c>
    </row>
    <row r="121" spans="6:23" x14ac:dyDescent="0.3">
      <c r="F121">
        <v>141</v>
      </c>
      <c r="G121">
        <v>3</v>
      </c>
      <c r="J121">
        <v>86</v>
      </c>
      <c r="K121">
        <v>27</v>
      </c>
      <c r="U121" t="s">
        <v>165</v>
      </c>
      <c r="V121" t="s">
        <v>59</v>
      </c>
      <c r="W121" s="1">
        <v>48</v>
      </c>
    </row>
    <row r="122" spans="6:23" x14ac:dyDescent="0.3">
      <c r="F122">
        <v>138</v>
      </c>
      <c r="G122">
        <v>3</v>
      </c>
      <c r="J122">
        <v>262</v>
      </c>
      <c r="K122">
        <v>27</v>
      </c>
      <c r="U122" t="s">
        <v>166</v>
      </c>
      <c r="V122" t="s">
        <v>114</v>
      </c>
      <c r="W122" s="1">
        <v>48</v>
      </c>
    </row>
    <row r="123" spans="6:23" x14ac:dyDescent="0.3">
      <c r="F123">
        <v>136</v>
      </c>
      <c r="G123">
        <v>3</v>
      </c>
      <c r="J123">
        <v>214</v>
      </c>
      <c r="K123">
        <v>27</v>
      </c>
      <c r="U123" t="s">
        <v>167</v>
      </c>
      <c r="V123" t="s">
        <v>168</v>
      </c>
      <c r="W123" s="1">
        <v>48</v>
      </c>
    </row>
    <row r="124" spans="6:23" x14ac:dyDescent="0.3">
      <c r="F124">
        <v>132</v>
      </c>
      <c r="G124">
        <v>3</v>
      </c>
      <c r="J124">
        <v>172</v>
      </c>
      <c r="K124">
        <v>27</v>
      </c>
      <c r="U124" t="s">
        <v>169</v>
      </c>
      <c r="V124" t="s">
        <v>42</v>
      </c>
      <c r="W124" s="1">
        <v>48</v>
      </c>
    </row>
    <row r="125" spans="6:23" x14ac:dyDescent="0.3">
      <c r="F125">
        <v>121</v>
      </c>
      <c r="G125">
        <v>3</v>
      </c>
      <c r="J125">
        <v>295</v>
      </c>
      <c r="K125">
        <v>26</v>
      </c>
      <c r="U125" t="s">
        <v>170</v>
      </c>
      <c r="V125" t="s">
        <v>171</v>
      </c>
      <c r="W125" s="1">
        <v>48</v>
      </c>
    </row>
    <row r="126" spans="6:23" x14ac:dyDescent="0.3">
      <c r="F126">
        <v>117</v>
      </c>
      <c r="G126">
        <v>3</v>
      </c>
      <c r="J126">
        <v>285</v>
      </c>
      <c r="K126">
        <v>26</v>
      </c>
      <c r="U126" t="s">
        <v>172</v>
      </c>
      <c r="V126" t="s">
        <v>73</v>
      </c>
      <c r="W126" s="1">
        <v>48</v>
      </c>
    </row>
    <row r="127" spans="6:23" x14ac:dyDescent="0.3">
      <c r="F127">
        <v>999</v>
      </c>
      <c r="G127">
        <v>2</v>
      </c>
      <c r="J127">
        <v>235</v>
      </c>
      <c r="K127">
        <v>26</v>
      </c>
      <c r="U127" t="s">
        <v>173</v>
      </c>
      <c r="V127" t="s">
        <v>71</v>
      </c>
      <c r="W127" s="1">
        <v>480</v>
      </c>
    </row>
    <row r="128" spans="6:23" x14ac:dyDescent="0.3">
      <c r="F128">
        <v>610</v>
      </c>
      <c r="G128">
        <v>2</v>
      </c>
      <c r="J128">
        <v>220</v>
      </c>
      <c r="K128">
        <v>26</v>
      </c>
      <c r="U128" t="s">
        <v>174</v>
      </c>
      <c r="V128" t="s">
        <v>71</v>
      </c>
      <c r="W128" s="1">
        <v>480</v>
      </c>
    </row>
    <row r="129" spans="6:23" x14ac:dyDescent="0.3">
      <c r="F129">
        <v>550</v>
      </c>
      <c r="G129">
        <v>2</v>
      </c>
      <c r="J129">
        <v>216</v>
      </c>
      <c r="K129">
        <v>26</v>
      </c>
      <c r="U129" t="s">
        <v>175</v>
      </c>
      <c r="V129" t="s">
        <v>65</v>
      </c>
      <c r="W129" s="1">
        <v>485</v>
      </c>
    </row>
    <row r="130" spans="6:23" x14ac:dyDescent="0.3">
      <c r="F130">
        <v>480</v>
      </c>
      <c r="G130">
        <v>2</v>
      </c>
      <c r="J130">
        <v>208</v>
      </c>
      <c r="K130">
        <v>26</v>
      </c>
      <c r="U130" t="s">
        <v>176</v>
      </c>
      <c r="V130" t="s">
        <v>177</v>
      </c>
      <c r="W130" s="1">
        <v>49</v>
      </c>
    </row>
    <row r="131" spans="6:23" x14ac:dyDescent="0.3">
      <c r="F131">
        <v>445</v>
      </c>
      <c r="G131">
        <v>2</v>
      </c>
      <c r="J131">
        <v>197</v>
      </c>
      <c r="K131">
        <v>26</v>
      </c>
      <c r="U131" t="s">
        <v>178</v>
      </c>
      <c r="V131" t="s">
        <v>39</v>
      </c>
      <c r="W131" s="1">
        <v>49</v>
      </c>
    </row>
    <row r="132" spans="6:23" x14ac:dyDescent="0.3">
      <c r="F132">
        <v>42</v>
      </c>
      <c r="G132">
        <v>2</v>
      </c>
      <c r="J132">
        <v>187</v>
      </c>
      <c r="K132">
        <v>26</v>
      </c>
      <c r="U132" t="s">
        <v>179</v>
      </c>
      <c r="V132" t="s">
        <v>45</v>
      </c>
      <c r="W132" s="1">
        <v>49</v>
      </c>
    </row>
    <row r="133" spans="6:23" x14ac:dyDescent="0.3">
      <c r="F133">
        <v>417</v>
      </c>
      <c r="G133">
        <v>2</v>
      </c>
      <c r="J133">
        <v>162</v>
      </c>
      <c r="K133">
        <v>26</v>
      </c>
      <c r="U133" t="s">
        <v>180</v>
      </c>
      <c r="V133" t="s">
        <v>21</v>
      </c>
      <c r="W133" s="1">
        <v>49</v>
      </c>
    </row>
    <row r="134" spans="6:23" x14ac:dyDescent="0.3">
      <c r="F134">
        <v>34</v>
      </c>
      <c r="G134">
        <v>2</v>
      </c>
      <c r="J134">
        <v>151</v>
      </c>
      <c r="K134">
        <v>26</v>
      </c>
      <c r="U134" t="s">
        <v>181</v>
      </c>
      <c r="V134" t="s">
        <v>182</v>
      </c>
      <c r="W134" s="1">
        <v>49</v>
      </c>
    </row>
    <row r="135" spans="6:23" x14ac:dyDescent="0.3">
      <c r="F135">
        <v>337</v>
      </c>
      <c r="G135">
        <v>2</v>
      </c>
      <c r="J135">
        <v>322</v>
      </c>
      <c r="K135">
        <v>25</v>
      </c>
      <c r="U135" t="s">
        <v>183</v>
      </c>
      <c r="V135" t="s">
        <v>77</v>
      </c>
      <c r="W135" s="1">
        <v>49</v>
      </c>
    </row>
    <row r="136" spans="6:23" x14ac:dyDescent="0.3">
      <c r="F136">
        <v>327</v>
      </c>
      <c r="G136">
        <v>2</v>
      </c>
      <c r="J136">
        <v>315</v>
      </c>
      <c r="K136">
        <v>25</v>
      </c>
      <c r="U136" t="s">
        <v>184</v>
      </c>
      <c r="V136" t="s">
        <v>73</v>
      </c>
      <c r="W136" s="1">
        <v>49</v>
      </c>
    </row>
    <row r="137" spans="6:23" x14ac:dyDescent="0.3">
      <c r="F137">
        <v>298</v>
      </c>
      <c r="G137">
        <v>2</v>
      </c>
      <c r="J137">
        <v>248</v>
      </c>
      <c r="K137">
        <v>25</v>
      </c>
      <c r="U137" t="s">
        <v>185</v>
      </c>
      <c r="V137" t="s">
        <v>45</v>
      </c>
      <c r="W137" s="1">
        <v>497</v>
      </c>
    </row>
    <row r="138" spans="6:23" x14ac:dyDescent="0.3">
      <c r="F138">
        <v>294</v>
      </c>
      <c r="G138">
        <v>2</v>
      </c>
      <c r="J138">
        <v>213</v>
      </c>
      <c r="K138">
        <v>25</v>
      </c>
      <c r="U138" t="s">
        <v>186</v>
      </c>
      <c r="V138" t="s">
        <v>13</v>
      </c>
      <c r="W138" s="1">
        <v>50000</v>
      </c>
    </row>
    <row r="139" spans="6:23" x14ac:dyDescent="0.3">
      <c r="F139">
        <v>291</v>
      </c>
      <c r="G139">
        <v>2</v>
      </c>
      <c r="J139">
        <v>168</v>
      </c>
      <c r="K139">
        <v>25</v>
      </c>
      <c r="U139" t="s">
        <v>187</v>
      </c>
      <c r="V139" t="s">
        <v>45</v>
      </c>
      <c r="W139" s="1">
        <v>50000</v>
      </c>
    </row>
    <row r="140" spans="6:23" x14ac:dyDescent="0.3">
      <c r="F140">
        <v>290</v>
      </c>
      <c r="G140">
        <v>2</v>
      </c>
      <c r="J140">
        <v>93</v>
      </c>
      <c r="K140">
        <v>24</v>
      </c>
      <c r="U140" t="s">
        <v>188</v>
      </c>
      <c r="V140" t="s">
        <v>45</v>
      </c>
      <c r="W140" s="1">
        <v>50000</v>
      </c>
    </row>
    <row r="141" spans="6:23" x14ac:dyDescent="0.3">
      <c r="F141">
        <v>288</v>
      </c>
      <c r="G141">
        <v>2</v>
      </c>
      <c r="J141">
        <v>83</v>
      </c>
      <c r="K141">
        <v>24</v>
      </c>
      <c r="U141" t="s">
        <v>189</v>
      </c>
      <c r="V141" t="s">
        <v>17</v>
      </c>
      <c r="W141" s="1">
        <v>50020</v>
      </c>
    </row>
    <row r="142" spans="6:23" x14ac:dyDescent="0.3">
      <c r="F142">
        <v>245</v>
      </c>
      <c r="G142">
        <v>2</v>
      </c>
      <c r="J142">
        <v>82</v>
      </c>
      <c r="K142">
        <v>24</v>
      </c>
      <c r="U142" t="s">
        <v>190</v>
      </c>
      <c r="V142" t="s">
        <v>17</v>
      </c>
      <c r="W142" s="1">
        <v>50020</v>
      </c>
    </row>
    <row r="143" spans="6:23" x14ac:dyDescent="0.3">
      <c r="F143">
        <v>242</v>
      </c>
      <c r="G143">
        <v>2</v>
      </c>
      <c r="J143">
        <v>274</v>
      </c>
      <c r="K143">
        <v>24</v>
      </c>
      <c r="U143" t="s">
        <v>191</v>
      </c>
      <c r="V143" t="s">
        <v>17</v>
      </c>
      <c r="W143" s="1">
        <v>50020</v>
      </c>
    </row>
    <row r="144" spans="6:23" x14ac:dyDescent="0.3">
      <c r="F144">
        <v>238</v>
      </c>
      <c r="G144">
        <v>2</v>
      </c>
      <c r="J144">
        <v>241</v>
      </c>
      <c r="K144">
        <v>24</v>
      </c>
      <c r="U144" t="s">
        <v>192</v>
      </c>
      <c r="V144" t="s">
        <v>17</v>
      </c>
      <c r="W144" s="1">
        <v>50020</v>
      </c>
    </row>
    <row r="145" spans="6:23" x14ac:dyDescent="0.3">
      <c r="F145">
        <v>230</v>
      </c>
      <c r="G145">
        <v>2</v>
      </c>
      <c r="J145">
        <v>238</v>
      </c>
      <c r="K145">
        <v>24</v>
      </c>
      <c r="U145" t="s">
        <v>193</v>
      </c>
      <c r="V145" t="s">
        <v>17</v>
      </c>
      <c r="W145" s="1">
        <v>50040</v>
      </c>
    </row>
    <row r="146" spans="6:23" x14ac:dyDescent="0.3">
      <c r="F146">
        <v>226</v>
      </c>
      <c r="G146">
        <v>2</v>
      </c>
      <c r="J146">
        <v>70</v>
      </c>
      <c r="K146">
        <v>23</v>
      </c>
      <c r="U146" t="s">
        <v>194</v>
      </c>
      <c r="V146" t="s">
        <v>195</v>
      </c>
      <c r="W146" s="1">
        <v>50</v>
      </c>
    </row>
    <row r="147" spans="6:23" x14ac:dyDescent="0.3">
      <c r="F147">
        <v>219</v>
      </c>
      <c r="G147">
        <v>2</v>
      </c>
      <c r="J147">
        <v>228</v>
      </c>
      <c r="K147">
        <v>23</v>
      </c>
      <c r="U147" t="s">
        <v>196</v>
      </c>
      <c r="V147" t="s">
        <v>73</v>
      </c>
      <c r="W147" s="1">
        <v>50</v>
      </c>
    </row>
    <row r="148" spans="6:23" x14ac:dyDescent="0.3">
      <c r="F148">
        <v>203</v>
      </c>
      <c r="G148">
        <v>2</v>
      </c>
      <c r="J148">
        <v>219</v>
      </c>
      <c r="K148">
        <v>23</v>
      </c>
      <c r="U148" t="s">
        <v>197</v>
      </c>
      <c r="V148" t="s">
        <v>198</v>
      </c>
      <c r="W148" s="1">
        <v>50</v>
      </c>
    </row>
    <row r="149" spans="6:23" x14ac:dyDescent="0.3">
      <c r="F149">
        <v>201</v>
      </c>
      <c r="G149">
        <v>2</v>
      </c>
      <c r="J149">
        <v>189</v>
      </c>
      <c r="K149">
        <v>23</v>
      </c>
      <c r="U149" t="s">
        <v>199</v>
      </c>
      <c r="V149" t="s">
        <v>77</v>
      </c>
      <c r="W149" s="1">
        <v>50</v>
      </c>
    </row>
    <row r="150" spans="6:23" x14ac:dyDescent="0.3">
      <c r="F150">
        <v>198</v>
      </c>
      <c r="G150">
        <v>2</v>
      </c>
      <c r="J150">
        <v>184</v>
      </c>
      <c r="K150">
        <v>23</v>
      </c>
      <c r="U150" t="s">
        <v>200</v>
      </c>
      <c r="V150" t="s">
        <v>198</v>
      </c>
      <c r="W150" s="1">
        <v>50</v>
      </c>
    </row>
    <row r="151" spans="6:23" x14ac:dyDescent="0.3">
      <c r="F151">
        <v>182</v>
      </c>
      <c r="G151">
        <v>2</v>
      </c>
      <c r="J151">
        <v>181</v>
      </c>
      <c r="K151">
        <v>23</v>
      </c>
      <c r="U151" t="s">
        <v>201</v>
      </c>
      <c r="V151" t="s">
        <v>73</v>
      </c>
      <c r="W151" s="1">
        <v>50</v>
      </c>
    </row>
    <row r="152" spans="6:23" x14ac:dyDescent="0.3">
      <c r="F152">
        <v>171</v>
      </c>
      <c r="G152">
        <v>2</v>
      </c>
      <c r="J152">
        <v>174</v>
      </c>
      <c r="K152">
        <v>23</v>
      </c>
      <c r="U152" t="s">
        <v>202</v>
      </c>
      <c r="V152" t="s">
        <v>203</v>
      </c>
      <c r="W152" s="1">
        <v>50</v>
      </c>
    </row>
    <row r="153" spans="6:23" x14ac:dyDescent="0.3">
      <c r="F153">
        <v>165</v>
      </c>
      <c r="G153">
        <v>2</v>
      </c>
      <c r="J153">
        <v>297</v>
      </c>
      <c r="K153">
        <v>22</v>
      </c>
      <c r="U153" t="s">
        <v>204</v>
      </c>
      <c r="V153" t="s">
        <v>73</v>
      </c>
      <c r="W153" s="1">
        <v>50</v>
      </c>
    </row>
    <row r="154" spans="6:23" x14ac:dyDescent="0.3">
      <c r="F154">
        <v>164</v>
      </c>
      <c r="G154">
        <v>2</v>
      </c>
      <c r="J154">
        <v>240</v>
      </c>
      <c r="K154">
        <v>22</v>
      </c>
      <c r="U154" t="s">
        <v>205</v>
      </c>
      <c r="V154" t="s">
        <v>101</v>
      </c>
      <c r="W154" s="1">
        <v>50</v>
      </c>
    </row>
    <row r="155" spans="6:23" x14ac:dyDescent="0.3">
      <c r="F155">
        <v>158</v>
      </c>
      <c r="G155">
        <v>2</v>
      </c>
      <c r="J155">
        <v>224</v>
      </c>
      <c r="K155">
        <v>22</v>
      </c>
      <c r="U155" t="s">
        <v>206</v>
      </c>
      <c r="V155" t="s">
        <v>148</v>
      </c>
      <c r="W155" s="1">
        <v>50</v>
      </c>
    </row>
    <row r="156" spans="6:23" x14ac:dyDescent="0.3">
      <c r="F156">
        <v>156</v>
      </c>
      <c r="G156">
        <v>2</v>
      </c>
      <c r="J156">
        <v>222</v>
      </c>
      <c r="K156">
        <v>22</v>
      </c>
      <c r="U156" t="s">
        <v>207</v>
      </c>
      <c r="V156" t="s">
        <v>73</v>
      </c>
      <c r="W156" s="1">
        <v>50</v>
      </c>
    </row>
    <row r="157" spans="6:23" x14ac:dyDescent="0.3">
      <c r="F157">
        <v>154</v>
      </c>
      <c r="G157">
        <v>2</v>
      </c>
      <c r="J157">
        <v>182</v>
      </c>
      <c r="K157">
        <v>22</v>
      </c>
      <c r="U157" t="s">
        <v>208</v>
      </c>
      <c r="V157" t="s">
        <v>77</v>
      </c>
      <c r="W157" s="1">
        <v>50</v>
      </c>
    </row>
    <row r="158" spans="6:23" x14ac:dyDescent="0.3">
      <c r="F158">
        <v>151</v>
      </c>
      <c r="G158">
        <v>2</v>
      </c>
      <c r="J158">
        <v>258</v>
      </c>
      <c r="K158">
        <v>21</v>
      </c>
      <c r="U158" t="s">
        <v>209</v>
      </c>
      <c r="V158" t="s">
        <v>39</v>
      </c>
      <c r="W158" s="1">
        <v>50</v>
      </c>
    </row>
    <row r="159" spans="6:23" x14ac:dyDescent="0.3">
      <c r="F159">
        <v>149</v>
      </c>
      <c r="G159">
        <v>2</v>
      </c>
      <c r="J159">
        <v>209</v>
      </c>
      <c r="K159">
        <v>21</v>
      </c>
      <c r="U159" t="s">
        <v>210</v>
      </c>
      <c r="V159" t="s">
        <v>73</v>
      </c>
      <c r="W159" s="1">
        <v>50</v>
      </c>
    </row>
    <row r="160" spans="6:23" x14ac:dyDescent="0.3">
      <c r="F160">
        <v>146</v>
      </c>
      <c r="G160">
        <v>2</v>
      </c>
      <c r="J160">
        <v>206</v>
      </c>
      <c r="K160">
        <v>21</v>
      </c>
      <c r="U160" t="s">
        <v>211</v>
      </c>
      <c r="V160" t="s">
        <v>73</v>
      </c>
      <c r="W160" s="1">
        <v>50</v>
      </c>
    </row>
    <row r="161" spans="6:23" x14ac:dyDescent="0.3">
      <c r="F161">
        <v>134</v>
      </c>
      <c r="G161">
        <v>2</v>
      </c>
      <c r="J161">
        <v>202</v>
      </c>
      <c r="K161">
        <v>21</v>
      </c>
      <c r="U161" t="s">
        <v>212</v>
      </c>
      <c r="V161" t="s">
        <v>73</v>
      </c>
      <c r="W161" s="1">
        <v>50</v>
      </c>
    </row>
    <row r="162" spans="6:23" x14ac:dyDescent="0.3">
      <c r="F162">
        <v>129</v>
      </c>
      <c r="G162">
        <v>2</v>
      </c>
      <c r="J162">
        <v>191</v>
      </c>
      <c r="K162">
        <v>21</v>
      </c>
      <c r="U162" t="s">
        <v>213</v>
      </c>
      <c r="V162" t="s">
        <v>168</v>
      </c>
      <c r="W162" s="1">
        <v>50</v>
      </c>
    </row>
    <row r="163" spans="6:23" x14ac:dyDescent="0.3">
      <c r="F163">
        <v>127</v>
      </c>
      <c r="G163">
        <v>2</v>
      </c>
      <c r="J163">
        <v>186</v>
      </c>
      <c r="K163">
        <v>21</v>
      </c>
      <c r="U163" t="s">
        <v>214</v>
      </c>
      <c r="V163" t="s">
        <v>215</v>
      </c>
      <c r="W163" s="1">
        <v>50</v>
      </c>
    </row>
    <row r="164" spans="6:23" x14ac:dyDescent="0.3">
      <c r="F164">
        <v>107</v>
      </c>
      <c r="G164">
        <v>2</v>
      </c>
      <c r="J164">
        <v>78</v>
      </c>
      <c r="K164">
        <v>20</v>
      </c>
      <c r="U164" t="s">
        <v>216</v>
      </c>
      <c r="V164" t="s">
        <v>42</v>
      </c>
      <c r="W164" s="1">
        <v>50</v>
      </c>
    </row>
    <row r="165" spans="6:23" hidden="1" x14ac:dyDescent="0.3">
      <c r="F165">
        <v>1526</v>
      </c>
      <c r="G165">
        <v>2</v>
      </c>
      <c r="J165">
        <v>77</v>
      </c>
      <c r="K165">
        <v>20</v>
      </c>
      <c r="U165" t="s">
        <v>217</v>
      </c>
      <c r="V165" t="s">
        <v>73</v>
      </c>
      <c r="W165" s="1">
        <v>50</v>
      </c>
    </row>
    <row r="166" spans="6:23" x14ac:dyDescent="0.3">
      <c r="F166">
        <v>982</v>
      </c>
      <c r="G166">
        <v>1</v>
      </c>
      <c r="J166">
        <v>360</v>
      </c>
      <c r="K166">
        <v>20</v>
      </c>
      <c r="U166" t="s">
        <v>218</v>
      </c>
      <c r="V166" t="s">
        <v>164</v>
      </c>
      <c r="W166" s="1">
        <v>50</v>
      </c>
    </row>
    <row r="167" spans="6:23" x14ac:dyDescent="0.3">
      <c r="F167">
        <v>972</v>
      </c>
      <c r="G167">
        <v>1</v>
      </c>
      <c r="J167">
        <v>265</v>
      </c>
      <c r="K167">
        <v>20</v>
      </c>
      <c r="U167" t="s">
        <v>219</v>
      </c>
      <c r="V167" t="s">
        <v>59</v>
      </c>
      <c r="W167" s="1">
        <v>50</v>
      </c>
    </row>
    <row r="168" spans="6:23" x14ac:dyDescent="0.3">
      <c r="F168">
        <v>954</v>
      </c>
      <c r="G168">
        <v>1</v>
      </c>
      <c r="J168">
        <v>259</v>
      </c>
      <c r="K168">
        <v>20</v>
      </c>
      <c r="U168" t="s">
        <v>220</v>
      </c>
      <c r="V168" t="s">
        <v>73</v>
      </c>
      <c r="W168" s="1">
        <v>50</v>
      </c>
    </row>
    <row r="169" spans="6:23" x14ac:dyDescent="0.3">
      <c r="F169">
        <v>874</v>
      </c>
      <c r="G169">
        <v>1</v>
      </c>
      <c r="J169">
        <v>255</v>
      </c>
      <c r="K169">
        <v>20</v>
      </c>
      <c r="U169" t="s">
        <v>221</v>
      </c>
      <c r="V169" t="s">
        <v>222</v>
      </c>
      <c r="W169" s="1">
        <v>50</v>
      </c>
    </row>
    <row r="170" spans="6:23" x14ac:dyDescent="0.3">
      <c r="F170">
        <v>861</v>
      </c>
      <c r="G170">
        <v>1</v>
      </c>
      <c r="J170">
        <v>251</v>
      </c>
      <c r="K170">
        <v>20</v>
      </c>
      <c r="U170" t="s">
        <v>223</v>
      </c>
      <c r="V170" t="s">
        <v>75</v>
      </c>
      <c r="W170" s="1">
        <v>50</v>
      </c>
    </row>
    <row r="171" spans="6:23" x14ac:dyDescent="0.3">
      <c r="F171">
        <v>852</v>
      </c>
      <c r="G171">
        <v>1</v>
      </c>
      <c r="J171">
        <v>237</v>
      </c>
      <c r="K171">
        <v>20</v>
      </c>
      <c r="U171" t="s">
        <v>224</v>
      </c>
      <c r="V171" t="s">
        <v>39</v>
      </c>
      <c r="W171" s="1">
        <v>50</v>
      </c>
    </row>
    <row r="172" spans="6:23" x14ac:dyDescent="0.3">
      <c r="F172">
        <v>808</v>
      </c>
      <c r="G172">
        <v>1</v>
      </c>
      <c r="J172">
        <v>227</v>
      </c>
      <c r="K172">
        <v>20</v>
      </c>
      <c r="U172" t="s">
        <v>225</v>
      </c>
      <c r="V172" t="s">
        <v>101</v>
      </c>
      <c r="W172" s="1">
        <v>50</v>
      </c>
    </row>
    <row r="173" spans="6:23" x14ac:dyDescent="0.3">
      <c r="F173">
        <v>794</v>
      </c>
      <c r="G173">
        <v>1</v>
      </c>
      <c r="J173">
        <v>203</v>
      </c>
      <c r="K173">
        <v>20</v>
      </c>
      <c r="U173" t="s">
        <v>226</v>
      </c>
      <c r="V173" t="s">
        <v>203</v>
      </c>
      <c r="W173" s="1">
        <v>50</v>
      </c>
    </row>
    <row r="174" spans="6:23" x14ac:dyDescent="0.3">
      <c r="F174">
        <v>720</v>
      </c>
      <c r="G174">
        <v>1</v>
      </c>
      <c r="J174">
        <v>84</v>
      </c>
      <c r="K174">
        <v>19</v>
      </c>
      <c r="U174" t="s">
        <v>227</v>
      </c>
      <c r="V174" t="s">
        <v>228</v>
      </c>
      <c r="W174" s="1">
        <v>50</v>
      </c>
    </row>
    <row r="175" spans="6:23" x14ac:dyDescent="0.3">
      <c r="F175">
        <v>700</v>
      </c>
      <c r="G175">
        <v>1</v>
      </c>
      <c r="J175">
        <v>75</v>
      </c>
      <c r="K175">
        <v>19</v>
      </c>
      <c r="U175" t="s">
        <v>229</v>
      </c>
      <c r="V175" t="s">
        <v>97</v>
      </c>
      <c r="W175" s="1">
        <v>50</v>
      </c>
    </row>
    <row r="176" spans="6:23" hidden="1" x14ac:dyDescent="0.3">
      <c r="F176">
        <v>7920</v>
      </c>
      <c r="G176">
        <v>1</v>
      </c>
      <c r="J176">
        <v>72</v>
      </c>
      <c r="K176">
        <v>19</v>
      </c>
      <c r="U176" t="s">
        <v>230</v>
      </c>
      <c r="V176" t="s">
        <v>21</v>
      </c>
      <c r="W176" s="1">
        <v>50</v>
      </c>
    </row>
    <row r="177" spans="6:23" x14ac:dyDescent="0.3">
      <c r="F177">
        <v>636</v>
      </c>
      <c r="G177">
        <v>1</v>
      </c>
      <c r="J177">
        <v>450</v>
      </c>
      <c r="K177">
        <v>19</v>
      </c>
      <c r="U177" t="s">
        <v>231</v>
      </c>
      <c r="V177" t="s">
        <v>232</v>
      </c>
      <c r="W177" s="1">
        <v>50</v>
      </c>
    </row>
    <row r="178" spans="6:23" x14ac:dyDescent="0.3">
      <c r="F178">
        <v>600</v>
      </c>
      <c r="G178">
        <v>1</v>
      </c>
      <c r="J178">
        <v>308</v>
      </c>
      <c r="K178">
        <v>19</v>
      </c>
      <c r="U178" t="s">
        <v>233</v>
      </c>
      <c r="V178" t="s">
        <v>73</v>
      </c>
      <c r="W178" s="1">
        <v>50</v>
      </c>
    </row>
    <row r="179" spans="6:23" x14ac:dyDescent="0.3">
      <c r="F179">
        <v>581</v>
      </c>
      <c r="G179">
        <v>1</v>
      </c>
      <c r="J179">
        <v>296</v>
      </c>
      <c r="K179">
        <v>19</v>
      </c>
      <c r="U179" t="s">
        <v>234</v>
      </c>
      <c r="V179" t="s">
        <v>73</v>
      </c>
      <c r="W179" s="1">
        <v>50</v>
      </c>
    </row>
    <row r="180" spans="6:23" x14ac:dyDescent="0.3">
      <c r="F180">
        <v>566</v>
      </c>
      <c r="G180">
        <v>1</v>
      </c>
      <c r="J180">
        <v>290</v>
      </c>
      <c r="K180">
        <v>19</v>
      </c>
      <c r="U180" t="s">
        <v>235</v>
      </c>
      <c r="V180" t="s">
        <v>29</v>
      </c>
      <c r="W180" s="1">
        <v>50</v>
      </c>
    </row>
    <row r="181" spans="6:23" x14ac:dyDescent="0.3">
      <c r="F181">
        <v>558</v>
      </c>
      <c r="G181">
        <v>1</v>
      </c>
      <c r="J181">
        <v>280</v>
      </c>
      <c r="K181">
        <v>19</v>
      </c>
      <c r="U181" t="s">
        <v>236</v>
      </c>
      <c r="V181" t="s">
        <v>203</v>
      </c>
      <c r="W181" s="1">
        <v>50</v>
      </c>
    </row>
    <row r="182" spans="6:23" x14ac:dyDescent="0.3">
      <c r="F182">
        <v>544</v>
      </c>
      <c r="G182">
        <v>1</v>
      </c>
      <c r="J182">
        <v>268</v>
      </c>
      <c r="K182">
        <v>19</v>
      </c>
      <c r="U182" t="s">
        <v>237</v>
      </c>
      <c r="V182" t="s">
        <v>45</v>
      </c>
      <c r="W182" s="1">
        <v>50</v>
      </c>
    </row>
    <row r="183" spans="6:23" x14ac:dyDescent="0.3">
      <c r="F183">
        <v>507</v>
      </c>
      <c r="G183">
        <v>1</v>
      </c>
      <c r="J183">
        <v>266</v>
      </c>
      <c r="K183">
        <v>19</v>
      </c>
      <c r="U183" t="s">
        <v>238</v>
      </c>
      <c r="V183" t="s">
        <v>73</v>
      </c>
      <c r="W183" s="1">
        <v>50</v>
      </c>
    </row>
    <row r="184" spans="6:23" hidden="1" x14ac:dyDescent="0.3">
      <c r="F184">
        <v>50040</v>
      </c>
      <c r="G184">
        <v>1</v>
      </c>
      <c r="J184">
        <v>243</v>
      </c>
      <c r="K184">
        <v>19</v>
      </c>
      <c r="U184" t="s">
        <v>239</v>
      </c>
      <c r="V184" t="s">
        <v>240</v>
      </c>
      <c r="W184" s="1">
        <v>50</v>
      </c>
    </row>
    <row r="185" spans="6:23" x14ac:dyDescent="0.3">
      <c r="F185">
        <v>497</v>
      </c>
      <c r="G185">
        <v>1</v>
      </c>
      <c r="J185">
        <v>230</v>
      </c>
      <c r="K185">
        <v>19</v>
      </c>
      <c r="U185" t="s">
        <v>241</v>
      </c>
      <c r="V185" t="s">
        <v>42</v>
      </c>
      <c r="W185" s="1">
        <v>50</v>
      </c>
    </row>
    <row r="186" spans="6:23" x14ac:dyDescent="0.3">
      <c r="F186">
        <v>485</v>
      </c>
      <c r="G186">
        <v>1</v>
      </c>
      <c r="J186">
        <v>350</v>
      </c>
      <c r="K186">
        <v>18</v>
      </c>
      <c r="U186" t="s">
        <v>242</v>
      </c>
      <c r="V186" t="s">
        <v>73</v>
      </c>
      <c r="W186" s="1">
        <v>50</v>
      </c>
    </row>
    <row r="187" spans="6:23" x14ac:dyDescent="0.3">
      <c r="F187">
        <v>466</v>
      </c>
      <c r="G187">
        <v>1</v>
      </c>
      <c r="J187">
        <v>325</v>
      </c>
      <c r="K187">
        <v>18</v>
      </c>
      <c r="U187" t="s">
        <v>243</v>
      </c>
      <c r="V187" t="s">
        <v>244</v>
      </c>
      <c r="W187" s="1">
        <v>50</v>
      </c>
    </row>
    <row r="188" spans="6:23" x14ac:dyDescent="0.3">
      <c r="F188">
        <v>463</v>
      </c>
      <c r="G188">
        <v>1</v>
      </c>
      <c r="J188">
        <v>320</v>
      </c>
      <c r="K188">
        <v>18</v>
      </c>
      <c r="U188" t="s">
        <v>245</v>
      </c>
      <c r="V188" t="s">
        <v>246</v>
      </c>
      <c r="W188" s="1">
        <v>50</v>
      </c>
    </row>
    <row r="189" spans="6:23" x14ac:dyDescent="0.3">
      <c r="F189">
        <v>450</v>
      </c>
      <c r="G189">
        <v>1</v>
      </c>
      <c r="J189">
        <v>252</v>
      </c>
      <c r="K189">
        <v>18</v>
      </c>
      <c r="U189" t="s">
        <v>247</v>
      </c>
      <c r="V189" t="s">
        <v>164</v>
      </c>
      <c r="W189" s="1">
        <v>50</v>
      </c>
    </row>
    <row r="190" spans="6:23" x14ac:dyDescent="0.3">
      <c r="F190">
        <v>433</v>
      </c>
      <c r="G190">
        <v>1</v>
      </c>
      <c r="J190">
        <v>247</v>
      </c>
      <c r="K190">
        <v>18</v>
      </c>
      <c r="U190" t="s">
        <v>248</v>
      </c>
      <c r="V190" t="s">
        <v>215</v>
      </c>
      <c r="W190" s="1">
        <v>50</v>
      </c>
    </row>
    <row r="191" spans="6:23" x14ac:dyDescent="0.3">
      <c r="F191">
        <v>429</v>
      </c>
      <c r="G191">
        <v>1</v>
      </c>
      <c r="J191">
        <v>239</v>
      </c>
      <c r="K191">
        <v>18</v>
      </c>
      <c r="U191" t="s">
        <v>249</v>
      </c>
      <c r="V191" t="s">
        <v>17</v>
      </c>
      <c r="W191" s="1">
        <v>507</v>
      </c>
    </row>
    <row r="192" spans="6:23" x14ac:dyDescent="0.3">
      <c r="F192">
        <v>428</v>
      </c>
      <c r="G192">
        <v>1</v>
      </c>
      <c r="J192">
        <v>81</v>
      </c>
      <c r="K192">
        <v>17</v>
      </c>
      <c r="U192" t="s">
        <v>250</v>
      </c>
      <c r="V192" t="s">
        <v>45</v>
      </c>
      <c r="W192" s="1">
        <v>51</v>
      </c>
    </row>
    <row r="193" spans="6:23" x14ac:dyDescent="0.3">
      <c r="F193">
        <v>420</v>
      </c>
      <c r="G193">
        <v>1</v>
      </c>
      <c r="J193">
        <v>71</v>
      </c>
      <c r="K193">
        <v>17</v>
      </c>
      <c r="U193" t="s">
        <v>251</v>
      </c>
      <c r="V193" t="s">
        <v>75</v>
      </c>
      <c r="W193" s="1">
        <v>51</v>
      </c>
    </row>
    <row r="194" spans="6:23" x14ac:dyDescent="0.3">
      <c r="F194">
        <v>408</v>
      </c>
      <c r="G194">
        <v>1</v>
      </c>
      <c r="J194">
        <v>69</v>
      </c>
      <c r="K194">
        <v>17</v>
      </c>
      <c r="U194" t="s">
        <v>252</v>
      </c>
      <c r="V194" t="s">
        <v>11</v>
      </c>
      <c r="W194" s="1">
        <v>51</v>
      </c>
    </row>
    <row r="195" spans="6:23" x14ac:dyDescent="0.3">
      <c r="F195">
        <v>405</v>
      </c>
      <c r="G195">
        <v>1</v>
      </c>
      <c r="J195">
        <v>500</v>
      </c>
      <c r="K195">
        <v>17</v>
      </c>
      <c r="U195" t="s">
        <v>253</v>
      </c>
      <c r="V195" t="s">
        <v>42</v>
      </c>
      <c r="W195" s="1">
        <v>51</v>
      </c>
    </row>
    <row r="196" spans="6:23" x14ac:dyDescent="0.3">
      <c r="F196">
        <v>403</v>
      </c>
      <c r="G196">
        <v>1</v>
      </c>
      <c r="J196">
        <v>323</v>
      </c>
      <c r="K196">
        <v>17</v>
      </c>
      <c r="U196" t="s">
        <v>254</v>
      </c>
      <c r="V196" t="s">
        <v>171</v>
      </c>
      <c r="W196" s="1">
        <v>51</v>
      </c>
    </row>
    <row r="197" spans="6:23" x14ac:dyDescent="0.3">
      <c r="F197">
        <v>400</v>
      </c>
      <c r="G197">
        <v>1</v>
      </c>
      <c r="J197">
        <v>304</v>
      </c>
      <c r="K197">
        <v>17</v>
      </c>
      <c r="U197" t="s">
        <v>255</v>
      </c>
      <c r="V197" t="s">
        <v>203</v>
      </c>
      <c r="W197" s="1">
        <v>51</v>
      </c>
    </row>
    <row r="198" spans="6:23" hidden="1" x14ac:dyDescent="0.3">
      <c r="F198">
        <v>40135</v>
      </c>
      <c r="G198">
        <v>1</v>
      </c>
      <c r="J198">
        <v>293</v>
      </c>
      <c r="K198">
        <v>17</v>
      </c>
      <c r="U198" t="s">
        <v>256</v>
      </c>
      <c r="V198" t="s">
        <v>257</v>
      </c>
      <c r="W198" s="1">
        <v>51</v>
      </c>
    </row>
    <row r="199" spans="6:23" hidden="1" x14ac:dyDescent="0.3">
      <c r="F199">
        <v>40080</v>
      </c>
      <c r="G199">
        <v>1</v>
      </c>
      <c r="J199">
        <v>292</v>
      </c>
      <c r="K199">
        <v>17</v>
      </c>
      <c r="U199" t="s">
        <v>258</v>
      </c>
      <c r="V199" t="s">
        <v>150</v>
      </c>
      <c r="W199" s="1">
        <v>51</v>
      </c>
    </row>
    <row r="200" spans="6:23" hidden="1" x14ac:dyDescent="0.3">
      <c r="F200">
        <v>40068</v>
      </c>
      <c r="G200">
        <v>1</v>
      </c>
      <c r="J200">
        <v>269</v>
      </c>
      <c r="K200">
        <v>17</v>
      </c>
      <c r="U200" t="s">
        <v>259</v>
      </c>
      <c r="V200" t="s">
        <v>73</v>
      </c>
      <c r="W200" s="1">
        <v>51</v>
      </c>
    </row>
    <row r="201" spans="6:23" hidden="1" x14ac:dyDescent="0.3">
      <c r="F201">
        <v>40060</v>
      </c>
      <c r="G201">
        <v>1</v>
      </c>
      <c r="J201">
        <v>221</v>
      </c>
      <c r="K201">
        <v>17</v>
      </c>
      <c r="U201" t="s">
        <v>260</v>
      </c>
      <c r="V201" t="s">
        <v>73</v>
      </c>
      <c r="W201" s="1">
        <v>51</v>
      </c>
    </row>
    <row r="202" spans="6:23" x14ac:dyDescent="0.3">
      <c r="F202">
        <v>394</v>
      </c>
      <c r="G202">
        <v>1</v>
      </c>
      <c r="J202">
        <v>217</v>
      </c>
      <c r="K202">
        <v>17</v>
      </c>
      <c r="U202" t="s">
        <v>261</v>
      </c>
      <c r="V202" t="s">
        <v>42</v>
      </c>
      <c r="W202" s="1">
        <v>51</v>
      </c>
    </row>
    <row r="203" spans="6:23" x14ac:dyDescent="0.3">
      <c r="F203">
        <v>385</v>
      </c>
      <c r="G203">
        <v>1</v>
      </c>
      <c r="J203">
        <v>400</v>
      </c>
      <c r="K203">
        <v>16</v>
      </c>
      <c r="U203" t="s">
        <v>262</v>
      </c>
      <c r="V203" t="s">
        <v>114</v>
      </c>
      <c r="W203" s="1">
        <v>51</v>
      </c>
    </row>
    <row r="204" spans="6:23" x14ac:dyDescent="0.3">
      <c r="F204">
        <v>38</v>
      </c>
      <c r="G204">
        <v>1</v>
      </c>
      <c r="J204">
        <v>359</v>
      </c>
      <c r="K204">
        <v>16</v>
      </c>
      <c r="U204" t="s">
        <v>263</v>
      </c>
      <c r="V204" t="s">
        <v>45</v>
      </c>
      <c r="W204" s="1">
        <v>51</v>
      </c>
    </row>
    <row r="205" spans="6:23" x14ac:dyDescent="0.3">
      <c r="F205">
        <v>376</v>
      </c>
      <c r="G205">
        <v>1</v>
      </c>
      <c r="J205">
        <v>319</v>
      </c>
      <c r="K205">
        <v>16</v>
      </c>
      <c r="U205" t="s">
        <v>264</v>
      </c>
      <c r="V205" t="s">
        <v>21</v>
      </c>
      <c r="W205" s="1">
        <v>51</v>
      </c>
    </row>
    <row r="206" spans="6:23" x14ac:dyDescent="0.3">
      <c r="F206">
        <v>373</v>
      </c>
      <c r="G206">
        <v>1</v>
      </c>
      <c r="J206">
        <v>289</v>
      </c>
      <c r="K206">
        <v>16</v>
      </c>
      <c r="U206" t="s">
        <v>265</v>
      </c>
      <c r="V206" t="s">
        <v>21</v>
      </c>
      <c r="W206" s="1">
        <v>51</v>
      </c>
    </row>
    <row r="207" spans="6:23" x14ac:dyDescent="0.3">
      <c r="F207">
        <v>330</v>
      </c>
      <c r="G207">
        <v>1</v>
      </c>
      <c r="J207">
        <v>276</v>
      </c>
      <c r="K207">
        <v>16</v>
      </c>
      <c r="U207" t="s">
        <v>266</v>
      </c>
      <c r="V207" t="s">
        <v>240</v>
      </c>
      <c r="W207" s="1">
        <v>51</v>
      </c>
    </row>
    <row r="208" spans="6:23" x14ac:dyDescent="0.3">
      <c r="F208">
        <v>33</v>
      </c>
      <c r="G208">
        <v>1</v>
      </c>
      <c r="J208">
        <v>271</v>
      </c>
      <c r="K208">
        <v>16</v>
      </c>
      <c r="U208" t="s">
        <v>267</v>
      </c>
      <c r="V208" t="s">
        <v>42</v>
      </c>
      <c r="W208" s="1">
        <v>51</v>
      </c>
    </row>
    <row r="209" spans="6:23" x14ac:dyDescent="0.3">
      <c r="F209">
        <v>325</v>
      </c>
      <c r="G209">
        <v>1</v>
      </c>
      <c r="J209">
        <v>257</v>
      </c>
      <c r="K209">
        <v>16</v>
      </c>
      <c r="U209" t="s">
        <v>268</v>
      </c>
      <c r="V209" t="s">
        <v>177</v>
      </c>
      <c r="W209" s="1">
        <v>51</v>
      </c>
    </row>
    <row r="210" spans="6:23" x14ac:dyDescent="0.3">
      <c r="F210">
        <v>317</v>
      </c>
      <c r="G210">
        <v>1</v>
      </c>
      <c r="J210">
        <v>232</v>
      </c>
      <c r="K210">
        <v>16</v>
      </c>
      <c r="U210" t="s">
        <v>269</v>
      </c>
      <c r="V210" t="s">
        <v>177</v>
      </c>
      <c r="W210" s="1">
        <v>51</v>
      </c>
    </row>
    <row r="211" spans="6:23" x14ac:dyDescent="0.3">
      <c r="F211">
        <v>312</v>
      </c>
      <c r="G211">
        <v>1</v>
      </c>
      <c r="J211">
        <v>40000</v>
      </c>
      <c r="K211">
        <v>15</v>
      </c>
      <c r="U211" t="s">
        <v>270</v>
      </c>
      <c r="V211" t="s">
        <v>146</v>
      </c>
      <c r="W211" s="1">
        <v>51</v>
      </c>
    </row>
    <row r="212" spans="6:23" x14ac:dyDescent="0.3">
      <c r="F212">
        <v>31</v>
      </c>
      <c r="G212">
        <v>1</v>
      </c>
      <c r="J212">
        <v>380</v>
      </c>
      <c r="K212">
        <v>15</v>
      </c>
      <c r="U212" t="s">
        <v>271</v>
      </c>
      <c r="V212" t="s">
        <v>97</v>
      </c>
      <c r="W212" s="1">
        <v>51</v>
      </c>
    </row>
    <row r="213" spans="6:23" x14ac:dyDescent="0.3">
      <c r="F213">
        <v>307</v>
      </c>
      <c r="G213">
        <v>1</v>
      </c>
      <c r="J213">
        <v>362</v>
      </c>
      <c r="K213">
        <v>15</v>
      </c>
      <c r="U213" t="s">
        <v>272</v>
      </c>
      <c r="V213" t="s">
        <v>23</v>
      </c>
      <c r="W213" s="1">
        <v>51</v>
      </c>
    </row>
    <row r="214" spans="6:23" x14ac:dyDescent="0.3">
      <c r="F214">
        <v>302</v>
      </c>
      <c r="G214">
        <v>1</v>
      </c>
      <c r="J214">
        <v>324</v>
      </c>
      <c r="K214">
        <v>15</v>
      </c>
      <c r="U214" t="s">
        <v>273</v>
      </c>
      <c r="V214" t="s">
        <v>73</v>
      </c>
      <c r="W214" s="1">
        <v>51</v>
      </c>
    </row>
    <row r="215" spans="6:23" x14ac:dyDescent="0.3">
      <c r="F215">
        <v>30</v>
      </c>
      <c r="G215">
        <v>1</v>
      </c>
      <c r="J215">
        <v>288</v>
      </c>
      <c r="K215">
        <v>15</v>
      </c>
      <c r="U215" t="s">
        <v>274</v>
      </c>
      <c r="V215" t="s">
        <v>75</v>
      </c>
      <c r="W215" s="1">
        <v>51</v>
      </c>
    </row>
    <row r="216" spans="6:23" hidden="1" x14ac:dyDescent="0.3">
      <c r="F216">
        <v>3446</v>
      </c>
      <c r="G216">
        <v>1</v>
      </c>
      <c r="J216">
        <v>275</v>
      </c>
      <c r="K216">
        <v>15</v>
      </c>
      <c r="U216" t="s">
        <v>275</v>
      </c>
      <c r="V216" t="s">
        <v>97</v>
      </c>
      <c r="W216" s="1">
        <v>51</v>
      </c>
    </row>
    <row r="217" spans="6:23" hidden="1" x14ac:dyDescent="0.3">
      <c r="F217">
        <v>3062</v>
      </c>
      <c r="G217">
        <v>1</v>
      </c>
      <c r="J217">
        <v>263</v>
      </c>
      <c r="K217">
        <v>15</v>
      </c>
      <c r="U217" t="s">
        <v>276</v>
      </c>
      <c r="V217" t="s">
        <v>42</v>
      </c>
      <c r="W217" s="1">
        <v>51</v>
      </c>
    </row>
    <row r="218" spans="6:23" x14ac:dyDescent="0.3">
      <c r="F218">
        <v>296</v>
      </c>
      <c r="G218">
        <v>1</v>
      </c>
      <c r="J218">
        <v>245</v>
      </c>
      <c r="K218">
        <v>15</v>
      </c>
      <c r="U218" t="s">
        <v>277</v>
      </c>
      <c r="V218" t="s">
        <v>232</v>
      </c>
      <c r="W218" s="1">
        <v>51</v>
      </c>
    </row>
    <row r="219" spans="6:23" x14ac:dyDescent="0.3">
      <c r="F219">
        <v>292</v>
      </c>
      <c r="G219">
        <v>1</v>
      </c>
      <c r="J219">
        <v>244</v>
      </c>
      <c r="K219">
        <v>15</v>
      </c>
      <c r="U219" t="s">
        <v>278</v>
      </c>
      <c r="V219" t="s">
        <v>73</v>
      </c>
      <c r="W219" s="1">
        <v>51</v>
      </c>
    </row>
    <row r="220" spans="6:23" x14ac:dyDescent="0.3">
      <c r="F220">
        <v>29</v>
      </c>
      <c r="G220">
        <v>1</v>
      </c>
      <c r="J220">
        <v>231</v>
      </c>
      <c r="K220">
        <v>15</v>
      </c>
      <c r="U220" t="s">
        <v>279</v>
      </c>
      <c r="V220" t="s">
        <v>198</v>
      </c>
      <c r="W220" s="1">
        <v>51</v>
      </c>
    </row>
    <row r="221" spans="6:23" x14ac:dyDescent="0.3">
      <c r="F221">
        <v>286</v>
      </c>
      <c r="G221">
        <v>1</v>
      </c>
      <c r="J221">
        <v>229</v>
      </c>
      <c r="K221">
        <v>15</v>
      </c>
      <c r="U221" t="s">
        <v>280</v>
      </c>
      <c r="V221" t="s">
        <v>222</v>
      </c>
      <c r="W221" s="1">
        <v>51</v>
      </c>
    </row>
    <row r="222" spans="6:23" x14ac:dyDescent="0.3">
      <c r="F222">
        <v>285</v>
      </c>
      <c r="G222">
        <v>1</v>
      </c>
      <c r="J222">
        <v>79</v>
      </c>
      <c r="K222">
        <v>14</v>
      </c>
      <c r="U222" t="s">
        <v>281</v>
      </c>
      <c r="V222" t="s">
        <v>203</v>
      </c>
      <c r="W222" s="1">
        <v>52</v>
      </c>
    </row>
    <row r="223" spans="6:23" x14ac:dyDescent="0.3">
      <c r="F223">
        <v>280</v>
      </c>
      <c r="G223">
        <v>1</v>
      </c>
      <c r="J223">
        <v>74</v>
      </c>
      <c r="K223">
        <v>14</v>
      </c>
      <c r="U223" t="s">
        <v>282</v>
      </c>
      <c r="V223" t="s">
        <v>37</v>
      </c>
      <c r="W223" s="1">
        <v>52</v>
      </c>
    </row>
    <row r="224" spans="6:23" x14ac:dyDescent="0.3">
      <c r="F224">
        <v>279</v>
      </c>
      <c r="G224">
        <v>1</v>
      </c>
      <c r="J224">
        <v>378</v>
      </c>
      <c r="K224">
        <v>14</v>
      </c>
      <c r="U224" t="s">
        <v>283</v>
      </c>
      <c r="V224" t="s">
        <v>73</v>
      </c>
      <c r="W224" s="1">
        <v>52</v>
      </c>
    </row>
    <row r="225" spans="6:23" x14ac:dyDescent="0.3">
      <c r="F225">
        <v>272</v>
      </c>
      <c r="G225">
        <v>1</v>
      </c>
      <c r="J225">
        <v>338</v>
      </c>
      <c r="K225">
        <v>14</v>
      </c>
      <c r="U225" t="s">
        <v>284</v>
      </c>
      <c r="V225" t="s">
        <v>39</v>
      </c>
      <c r="W225" s="1">
        <v>52</v>
      </c>
    </row>
    <row r="226" spans="6:23" x14ac:dyDescent="0.3">
      <c r="F226">
        <v>270</v>
      </c>
      <c r="G226">
        <v>1</v>
      </c>
      <c r="J226">
        <v>312</v>
      </c>
      <c r="K226">
        <v>14</v>
      </c>
      <c r="U226" t="s">
        <v>285</v>
      </c>
      <c r="V226" t="s">
        <v>75</v>
      </c>
      <c r="W226" s="1">
        <v>52</v>
      </c>
    </row>
    <row r="227" spans="6:23" x14ac:dyDescent="0.3">
      <c r="F227">
        <v>266</v>
      </c>
      <c r="G227">
        <v>1</v>
      </c>
      <c r="J227">
        <v>303</v>
      </c>
      <c r="K227">
        <v>14</v>
      </c>
      <c r="U227" t="s">
        <v>286</v>
      </c>
      <c r="V227" t="s">
        <v>164</v>
      </c>
      <c r="W227" s="1">
        <v>52</v>
      </c>
    </row>
    <row r="228" spans="6:23" x14ac:dyDescent="0.3">
      <c r="F228">
        <v>263</v>
      </c>
      <c r="G228">
        <v>1</v>
      </c>
      <c r="J228">
        <v>298</v>
      </c>
      <c r="K228">
        <v>14</v>
      </c>
      <c r="U228" t="s">
        <v>287</v>
      </c>
      <c r="V228" t="s">
        <v>101</v>
      </c>
      <c r="W228" s="1">
        <v>52</v>
      </c>
    </row>
    <row r="229" spans="6:23" x14ac:dyDescent="0.3">
      <c r="F229">
        <v>262</v>
      </c>
      <c r="G229">
        <v>1</v>
      </c>
      <c r="J229">
        <v>287</v>
      </c>
      <c r="K229">
        <v>14</v>
      </c>
      <c r="U229" t="s">
        <v>288</v>
      </c>
      <c r="V229" t="s">
        <v>164</v>
      </c>
      <c r="W229" s="1">
        <v>52</v>
      </c>
    </row>
    <row r="230" spans="6:23" x14ac:dyDescent="0.3">
      <c r="F230">
        <v>260</v>
      </c>
      <c r="G230">
        <v>1</v>
      </c>
      <c r="J230">
        <v>279</v>
      </c>
      <c r="K230">
        <v>14</v>
      </c>
      <c r="U230" t="s">
        <v>289</v>
      </c>
      <c r="V230" t="s">
        <v>73</v>
      </c>
      <c r="W230" s="1">
        <v>52</v>
      </c>
    </row>
    <row r="231" spans="6:23" x14ac:dyDescent="0.3">
      <c r="F231">
        <v>252</v>
      </c>
      <c r="G231">
        <v>1</v>
      </c>
      <c r="J231">
        <v>277</v>
      </c>
      <c r="K231">
        <v>14</v>
      </c>
      <c r="U231" t="s">
        <v>290</v>
      </c>
      <c r="V231" t="s">
        <v>177</v>
      </c>
      <c r="W231" s="1">
        <v>52</v>
      </c>
    </row>
    <row r="232" spans="6:23" x14ac:dyDescent="0.3">
      <c r="F232">
        <v>25</v>
      </c>
      <c r="G232">
        <v>1</v>
      </c>
      <c r="J232">
        <v>261</v>
      </c>
      <c r="K232">
        <v>14</v>
      </c>
      <c r="U232" t="s">
        <v>291</v>
      </c>
      <c r="V232" t="s">
        <v>244</v>
      </c>
      <c r="W232" s="1">
        <v>52</v>
      </c>
    </row>
    <row r="233" spans="6:23" x14ac:dyDescent="0.3">
      <c r="F233">
        <v>247</v>
      </c>
      <c r="G233">
        <v>1</v>
      </c>
      <c r="J233">
        <v>254</v>
      </c>
      <c r="K233">
        <v>14</v>
      </c>
      <c r="U233" t="s">
        <v>292</v>
      </c>
      <c r="V233" t="s">
        <v>73</v>
      </c>
      <c r="W233" s="1">
        <v>52</v>
      </c>
    </row>
    <row r="234" spans="6:23" x14ac:dyDescent="0.3">
      <c r="F234">
        <v>246</v>
      </c>
      <c r="G234">
        <v>1</v>
      </c>
      <c r="J234">
        <v>249</v>
      </c>
      <c r="K234">
        <v>14</v>
      </c>
      <c r="U234" t="s">
        <v>293</v>
      </c>
      <c r="V234" t="s">
        <v>114</v>
      </c>
      <c r="W234" s="1">
        <v>52</v>
      </c>
    </row>
    <row r="235" spans="6:23" x14ac:dyDescent="0.3">
      <c r="F235">
        <v>243</v>
      </c>
      <c r="G235">
        <v>1</v>
      </c>
      <c r="J235">
        <v>236</v>
      </c>
      <c r="K235">
        <v>14</v>
      </c>
      <c r="U235" t="s">
        <v>294</v>
      </c>
      <c r="V235" t="s">
        <v>158</v>
      </c>
      <c r="W235" s="1">
        <v>52</v>
      </c>
    </row>
    <row r="236" spans="6:23" x14ac:dyDescent="0.3">
      <c r="F236">
        <v>24</v>
      </c>
      <c r="G236">
        <v>1</v>
      </c>
      <c r="J236">
        <v>76</v>
      </c>
      <c r="K236">
        <v>13</v>
      </c>
      <c r="U236" t="s">
        <v>295</v>
      </c>
      <c r="V236" t="s">
        <v>182</v>
      </c>
      <c r="W236" s="1">
        <v>52</v>
      </c>
    </row>
    <row r="237" spans="6:23" x14ac:dyDescent="0.3">
      <c r="F237">
        <v>239</v>
      </c>
      <c r="G237">
        <v>1</v>
      </c>
      <c r="J237">
        <v>428</v>
      </c>
      <c r="K237">
        <v>13</v>
      </c>
      <c r="U237" t="s">
        <v>296</v>
      </c>
      <c r="V237" t="s">
        <v>228</v>
      </c>
      <c r="W237" s="1">
        <v>52</v>
      </c>
    </row>
    <row r="238" spans="6:23" x14ac:dyDescent="0.3">
      <c r="F238">
        <v>235</v>
      </c>
      <c r="G238">
        <v>1</v>
      </c>
      <c r="J238">
        <v>372</v>
      </c>
      <c r="K238">
        <v>13</v>
      </c>
      <c r="U238" t="s">
        <v>297</v>
      </c>
      <c r="V238" t="s">
        <v>23</v>
      </c>
      <c r="W238" s="1">
        <v>53</v>
      </c>
    </row>
    <row r="239" spans="6:23" x14ac:dyDescent="0.3">
      <c r="F239">
        <v>229</v>
      </c>
      <c r="G239">
        <v>1</v>
      </c>
      <c r="J239">
        <v>358</v>
      </c>
      <c r="K239">
        <v>13</v>
      </c>
      <c r="U239" t="s">
        <v>298</v>
      </c>
      <c r="V239" t="s">
        <v>77</v>
      </c>
      <c r="W239" s="1">
        <v>53</v>
      </c>
    </row>
    <row r="240" spans="6:23" x14ac:dyDescent="0.3">
      <c r="F240">
        <v>225</v>
      </c>
      <c r="G240">
        <v>1</v>
      </c>
      <c r="J240">
        <v>357</v>
      </c>
      <c r="K240">
        <v>13</v>
      </c>
      <c r="U240" t="s">
        <v>299</v>
      </c>
      <c r="V240" t="s">
        <v>75</v>
      </c>
      <c r="W240" s="1">
        <v>53</v>
      </c>
    </row>
    <row r="241" spans="6:23" x14ac:dyDescent="0.3">
      <c r="F241">
        <v>224</v>
      </c>
      <c r="G241">
        <v>1</v>
      </c>
      <c r="J241">
        <v>321</v>
      </c>
      <c r="K241">
        <v>13</v>
      </c>
      <c r="U241" t="s">
        <v>300</v>
      </c>
      <c r="V241" t="s">
        <v>182</v>
      </c>
      <c r="W241" s="1">
        <v>53</v>
      </c>
    </row>
    <row r="242" spans="6:23" x14ac:dyDescent="0.3">
      <c r="F242">
        <v>222</v>
      </c>
      <c r="G242">
        <v>1</v>
      </c>
      <c r="J242">
        <v>307</v>
      </c>
      <c r="K242">
        <v>13</v>
      </c>
      <c r="U242" t="s">
        <v>301</v>
      </c>
      <c r="V242" t="s">
        <v>75</v>
      </c>
      <c r="W242" s="1">
        <v>53</v>
      </c>
    </row>
    <row r="243" spans="6:23" x14ac:dyDescent="0.3">
      <c r="F243">
        <v>212</v>
      </c>
      <c r="G243">
        <v>1</v>
      </c>
      <c r="J243">
        <v>291</v>
      </c>
      <c r="K243">
        <v>13</v>
      </c>
      <c r="U243" t="s">
        <v>302</v>
      </c>
      <c r="V243" t="s">
        <v>177</v>
      </c>
      <c r="W243" s="1">
        <v>53</v>
      </c>
    </row>
    <row r="244" spans="6:23" x14ac:dyDescent="0.3">
      <c r="F244">
        <v>200</v>
      </c>
      <c r="G244">
        <v>1</v>
      </c>
      <c r="J244">
        <v>281</v>
      </c>
      <c r="K244">
        <v>13</v>
      </c>
      <c r="U244" t="s">
        <v>303</v>
      </c>
      <c r="V244" t="s">
        <v>304</v>
      </c>
      <c r="W244" s="1">
        <v>53</v>
      </c>
    </row>
    <row r="245" spans="6:23" hidden="1" x14ac:dyDescent="0.3">
      <c r="F245">
        <v>20000</v>
      </c>
      <c r="G245">
        <v>1</v>
      </c>
      <c r="J245">
        <v>273</v>
      </c>
      <c r="K245">
        <v>13</v>
      </c>
      <c r="U245" t="s">
        <v>305</v>
      </c>
      <c r="V245" t="s">
        <v>73</v>
      </c>
      <c r="W245" s="1">
        <v>53</v>
      </c>
    </row>
    <row r="246" spans="6:23" hidden="1" x14ac:dyDescent="0.3">
      <c r="F246">
        <v>2966</v>
      </c>
      <c r="G246">
        <v>1</v>
      </c>
      <c r="J246">
        <v>260</v>
      </c>
      <c r="K246">
        <v>13</v>
      </c>
      <c r="U246" t="s">
        <v>306</v>
      </c>
      <c r="V246" t="s">
        <v>304</v>
      </c>
      <c r="W246" s="1">
        <v>53</v>
      </c>
    </row>
    <row r="247" spans="6:23" hidden="1" x14ac:dyDescent="0.3">
      <c r="F247">
        <v>2579</v>
      </c>
      <c r="G247">
        <v>1</v>
      </c>
      <c r="J247">
        <v>253</v>
      </c>
      <c r="K247">
        <v>13</v>
      </c>
      <c r="U247" t="s">
        <v>307</v>
      </c>
      <c r="V247" t="s">
        <v>308</v>
      </c>
      <c r="W247" s="1">
        <v>53</v>
      </c>
    </row>
    <row r="248" spans="6:23" hidden="1" x14ac:dyDescent="0.3">
      <c r="F248">
        <v>2028</v>
      </c>
      <c r="G248">
        <v>1</v>
      </c>
      <c r="J248">
        <v>242</v>
      </c>
      <c r="K248">
        <v>13</v>
      </c>
      <c r="U248" t="s">
        <v>309</v>
      </c>
      <c r="V248" t="s">
        <v>310</v>
      </c>
      <c r="W248" s="1">
        <v>53</v>
      </c>
    </row>
    <row r="249" spans="6:23" x14ac:dyDescent="0.3">
      <c r="F249">
        <v>199</v>
      </c>
      <c r="G249">
        <v>1</v>
      </c>
      <c r="J249">
        <v>234</v>
      </c>
      <c r="K249">
        <v>13</v>
      </c>
      <c r="U249" t="s">
        <v>311</v>
      </c>
      <c r="V249" t="s">
        <v>246</v>
      </c>
      <c r="W249" s="1">
        <v>53</v>
      </c>
    </row>
    <row r="250" spans="6:23" x14ac:dyDescent="0.3">
      <c r="F250">
        <v>195</v>
      </c>
      <c r="G250">
        <v>1</v>
      </c>
      <c r="J250">
        <v>226</v>
      </c>
      <c r="K250">
        <v>13</v>
      </c>
      <c r="U250" t="s">
        <v>312</v>
      </c>
      <c r="V250" t="s">
        <v>75</v>
      </c>
      <c r="W250" s="1">
        <v>53</v>
      </c>
    </row>
    <row r="251" spans="6:23" x14ac:dyDescent="0.3">
      <c r="F251">
        <v>194</v>
      </c>
      <c r="G251">
        <v>1</v>
      </c>
      <c r="J251">
        <v>495</v>
      </c>
      <c r="K251">
        <v>12</v>
      </c>
      <c r="U251" t="s">
        <v>313</v>
      </c>
      <c r="V251" t="s">
        <v>63</v>
      </c>
      <c r="W251" s="1">
        <v>53</v>
      </c>
    </row>
    <row r="252" spans="6:23" x14ac:dyDescent="0.3">
      <c r="F252">
        <v>192</v>
      </c>
      <c r="G252">
        <v>1</v>
      </c>
      <c r="J252">
        <v>393</v>
      </c>
      <c r="K252">
        <v>12</v>
      </c>
      <c r="U252" t="s">
        <v>314</v>
      </c>
      <c r="V252" t="s">
        <v>17</v>
      </c>
      <c r="W252" s="1">
        <v>53</v>
      </c>
    </row>
    <row r="253" spans="6:23" x14ac:dyDescent="0.3">
      <c r="F253">
        <v>191</v>
      </c>
      <c r="G253">
        <v>1</v>
      </c>
      <c r="J253">
        <v>339</v>
      </c>
      <c r="K253">
        <v>12</v>
      </c>
      <c r="U253" t="s">
        <v>315</v>
      </c>
      <c r="V253" t="s">
        <v>45</v>
      </c>
      <c r="W253" s="1">
        <v>53</v>
      </c>
    </row>
    <row r="254" spans="6:23" x14ac:dyDescent="0.3">
      <c r="F254">
        <v>190</v>
      </c>
      <c r="G254">
        <v>1</v>
      </c>
      <c r="J254">
        <v>332</v>
      </c>
      <c r="K254">
        <v>12</v>
      </c>
      <c r="U254" t="s">
        <v>316</v>
      </c>
      <c r="V254" t="s">
        <v>63</v>
      </c>
      <c r="W254" s="1">
        <v>53</v>
      </c>
    </row>
    <row r="255" spans="6:23" x14ac:dyDescent="0.3">
      <c r="F255">
        <v>186</v>
      </c>
      <c r="G255">
        <v>1</v>
      </c>
      <c r="J255">
        <v>314</v>
      </c>
      <c r="K255">
        <v>12</v>
      </c>
      <c r="U255" t="s">
        <v>317</v>
      </c>
      <c r="V255" t="s">
        <v>198</v>
      </c>
      <c r="W255" s="1">
        <v>53</v>
      </c>
    </row>
    <row r="256" spans="6:23" x14ac:dyDescent="0.3">
      <c r="F256">
        <v>184</v>
      </c>
      <c r="G256">
        <v>1</v>
      </c>
      <c r="J256">
        <v>272</v>
      </c>
      <c r="K256">
        <v>12</v>
      </c>
      <c r="U256" t="s">
        <v>318</v>
      </c>
      <c r="V256" t="s">
        <v>73</v>
      </c>
      <c r="W256" s="1">
        <v>53</v>
      </c>
    </row>
    <row r="257" spans="6:23" x14ac:dyDescent="0.3">
      <c r="F257">
        <v>183</v>
      </c>
      <c r="G257">
        <v>1</v>
      </c>
      <c r="J257">
        <v>355</v>
      </c>
      <c r="K257">
        <v>11</v>
      </c>
      <c r="U257" t="s">
        <v>319</v>
      </c>
      <c r="V257" t="s">
        <v>42</v>
      </c>
      <c r="W257" s="1">
        <v>53</v>
      </c>
    </row>
    <row r="258" spans="6:23" x14ac:dyDescent="0.3">
      <c r="F258">
        <v>180</v>
      </c>
      <c r="G258">
        <v>1</v>
      </c>
      <c r="J258">
        <v>343</v>
      </c>
      <c r="K258">
        <v>11</v>
      </c>
      <c r="U258" t="s">
        <v>320</v>
      </c>
      <c r="V258" t="s">
        <v>310</v>
      </c>
      <c r="W258" s="1">
        <v>53</v>
      </c>
    </row>
    <row r="259" spans="6:23" x14ac:dyDescent="0.3">
      <c r="F259">
        <v>179</v>
      </c>
      <c r="G259">
        <v>1</v>
      </c>
      <c r="J259">
        <v>341</v>
      </c>
      <c r="K259">
        <v>11</v>
      </c>
      <c r="U259" t="s">
        <v>321</v>
      </c>
      <c r="V259" t="s">
        <v>127</v>
      </c>
      <c r="W259" s="1">
        <v>53</v>
      </c>
    </row>
    <row r="260" spans="6:23" x14ac:dyDescent="0.3">
      <c r="F260">
        <v>173</v>
      </c>
      <c r="G260">
        <v>1</v>
      </c>
      <c r="J260">
        <v>327</v>
      </c>
      <c r="K260">
        <v>11</v>
      </c>
      <c r="U260" t="s">
        <v>322</v>
      </c>
      <c r="V260" t="s">
        <v>63</v>
      </c>
      <c r="W260" s="1">
        <v>53</v>
      </c>
    </row>
    <row r="261" spans="6:23" x14ac:dyDescent="0.3">
      <c r="F261">
        <v>167</v>
      </c>
      <c r="G261">
        <v>1</v>
      </c>
      <c r="J261">
        <v>318</v>
      </c>
      <c r="K261">
        <v>11</v>
      </c>
      <c r="U261" t="s">
        <v>323</v>
      </c>
      <c r="V261" t="s">
        <v>324</v>
      </c>
      <c r="W261" s="1">
        <v>53</v>
      </c>
    </row>
    <row r="262" spans="6:23" x14ac:dyDescent="0.3">
      <c r="F262">
        <v>166</v>
      </c>
      <c r="G262">
        <v>1</v>
      </c>
      <c r="J262">
        <v>294</v>
      </c>
      <c r="K262">
        <v>11</v>
      </c>
      <c r="U262" t="s">
        <v>325</v>
      </c>
      <c r="V262" t="s">
        <v>310</v>
      </c>
      <c r="W262" s="1">
        <v>53</v>
      </c>
    </row>
    <row r="263" spans="6:23" x14ac:dyDescent="0.3">
      <c r="F263">
        <v>162</v>
      </c>
      <c r="G263">
        <v>1</v>
      </c>
      <c r="J263">
        <v>283</v>
      </c>
      <c r="K263">
        <v>11</v>
      </c>
      <c r="U263" t="s">
        <v>326</v>
      </c>
      <c r="V263" t="s">
        <v>327</v>
      </c>
      <c r="W263" s="1">
        <v>53</v>
      </c>
    </row>
    <row r="264" spans="6:23" x14ac:dyDescent="0.3">
      <c r="F264">
        <v>161</v>
      </c>
      <c r="G264">
        <v>1</v>
      </c>
      <c r="J264">
        <v>282</v>
      </c>
      <c r="K264">
        <v>11</v>
      </c>
      <c r="U264" t="s">
        <v>328</v>
      </c>
      <c r="V264" t="s">
        <v>73</v>
      </c>
      <c r="W264" s="1">
        <v>54</v>
      </c>
    </row>
    <row r="265" spans="6:23" x14ac:dyDescent="0.3">
      <c r="F265">
        <v>159</v>
      </c>
      <c r="G265">
        <v>1</v>
      </c>
      <c r="J265">
        <v>256</v>
      </c>
      <c r="K265">
        <v>11</v>
      </c>
      <c r="U265" t="s">
        <v>329</v>
      </c>
      <c r="V265" t="s">
        <v>73</v>
      </c>
      <c r="W265" s="1">
        <v>54</v>
      </c>
    </row>
    <row r="266" spans="6:23" x14ac:dyDescent="0.3">
      <c r="F266">
        <v>153</v>
      </c>
      <c r="G266">
        <v>1</v>
      </c>
      <c r="J266">
        <v>246</v>
      </c>
      <c r="K266">
        <v>11</v>
      </c>
      <c r="U266" t="s">
        <v>330</v>
      </c>
      <c r="V266" t="s">
        <v>198</v>
      </c>
      <c r="W266" s="1">
        <v>54</v>
      </c>
    </row>
    <row r="267" spans="6:23" x14ac:dyDescent="0.3">
      <c r="F267">
        <v>140</v>
      </c>
      <c r="G267">
        <v>1</v>
      </c>
      <c r="J267">
        <v>67</v>
      </c>
      <c r="K267">
        <v>10</v>
      </c>
      <c r="U267" t="s">
        <v>331</v>
      </c>
      <c r="V267" t="s">
        <v>73</v>
      </c>
      <c r="W267" s="1">
        <v>54</v>
      </c>
    </row>
    <row r="268" spans="6:23" x14ac:dyDescent="0.3">
      <c r="F268">
        <v>137</v>
      </c>
      <c r="G268">
        <v>1</v>
      </c>
      <c r="J268">
        <v>600</v>
      </c>
      <c r="K268">
        <v>10</v>
      </c>
      <c r="U268" t="s">
        <v>332</v>
      </c>
      <c r="V268" t="s">
        <v>310</v>
      </c>
      <c r="W268" s="1">
        <v>54</v>
      </c>
    </row>
    <row r="269" spans="6:23" x14ac:dyDescent="0.3">
      <c r="F269">
        <v>119</v>
      </c>
      <c r="G269">
        <v>1</v>
      </c>
      <c r="J269">
        <v>540</v>
      </c>
      <c r="K269">
        <v>10</v>
      </c>
      <c r="U269" t="s">
        <v>333</v>
      </c>
      <c r="V269" t="s">
        <v>114</v>
      </c>
      <c r="W269" s="1">
        <v>54</v>
      </c>
    </row>
    <row r="270" spans="6:23" x14ac:dyDescent="0.3">
      <c r="F270">
        <v>112</v>
      </c>
      <c r="G270">
        <v>1</v>
      </c>
      <c r="J270">
        <v>512</v>
      </c>
      <c r="K270">
        <v>10</v>
      </c>
      <c r="U270" t="s">
        <v>334</v>
      </c>
      <c r="V270" t="s">
        <v>335</v>
      </c>
      <c r="W270" s="1">
        <v>54</v>
      </c>
    </row>
    <row r="271" spans="6:23" x14ac:dyDescent="0.3">
      <c r="F271">
        <v>11</v>
      </c>
      <c r="G271">
        <v>1</v>
      </c>
      <c r="J271">
        <v>431</v>
      </c>
      <c r="K271">
        <v>10</v>
      </c>
      <c r="U271" t="s">
        <v>336</v>
      </c>
      <c r="V271" t="s">
        <v>164</v>
      </c>
      <c r="W271" s="1">
        <v>54</v>
      </c>
    </row>
    <row r="272" spans="6:23" hidden="1" x14ac:dyDescent="0.3">
      <c r="F272">
        <v>10000</v>
      </c>
      <c r="G272">
        <v>1</v>
      </c>
      <c r="J272">
        <v>399</v>
      </c>
      <c r="K272">
        <v>10</v>
      </c>
      <c r="U272" t="s">
        <v>337</v>
      </c>
      <c r="V272" t="s">
        <v>73</v>
      </c>
      <c r="W272" s="1">
        <v>54</v>
      </c>
    </row>
    <row r="273" spans="6:23" hidden="1" x14ac:dyDescent="0.3">
      <c r="F273">
        <v>1519</v>
      </c>
      <c r="G273">
        <v>1</v>
      </c>
      <c r="J273">
        <v>367</v>
      </c>
      <c r="K273">
        <v>10</v>
      </c>
      <c r="U273" t="s">
        <v>338</v>
      </c>
      <c r="V273" t="s">
        <v>339</v>
      </c>
      <c r="W273" s="1">
        <v>54</v>
      </c>
    </row>
    <row r="274" spans="6:23" hidden="1" x14ac:dyDescent="0.3">
      <c r="F274">
        <v>1221</v>
      </c>
      <c r="G274">
        <v>1</v>
      </c>
      <c r="J274">
        <v>352</v>
      </c>
      <c r="K274">
        <v>10</v>
      </c>
      <c r="U274" t="s">
        <v>340</v>
      </c>
      <c r="V274" t="s">
        <v>310</v>
      </c>
      <c r="W274" s="1">
        <v>54</v>
      </c>
    </row>
    <row r="275" spans="6:23" hidden="1" x14ac:dyDescent="0.3">
      <c r="F275">
        <v>1014</v>
      </c>
      <c r="G275">
        <v>1</v>
      </c>
      <c r="J275">
        <v>347</v>
      </c>
      <c r="K275">
        <v>10</v>
      </c>
      <c r="U275" t="s">
        <v>341</v>
      </c>
      <c r="V275" t="s">
        <v>37</v>
      </c>
      <c r="W275" s="1">
        <v>54</v>
      </c>
    </row>
    <row r="276" spans="6:23" x14ac:dyDescent="0.3">
      <c r="F276">
        <f>+AVERAGE(Table3[$])</f>
        <v>1727.4212454212454</v>
      </c>
      <c r="J276">
        <v>336</v>
      </c>
      <c r="K276">
        <v>10</v>
      </c>
      <c r="U276" t="s">
        <v>342</v>
      </c>
      <c r="V276" t="s">
        <v>37</v>
      </c>
      <c r="W276" s="1">
        <v>54</v>
      </c>
    </row>
    <row r="277" spans="6:23" x14ac:dyDescent="0.3">
      <c r="F277">
        <f>+MEDIAN(F3:F275)</f>
        <v>164</v>
      </c>
      <c r="J277">
        <v>335</v>
      </c>
      <c r="K277">
        <v>10</v>
      </c>
      <c r="U277" t="s">
        <v>343</v>
      </c>
      <c r="V277" t="s">
        <v>23</v>
      </c>
      <c r="W277" s="1">
        <v>54</v>
      </c>
    </row>
    <row r="278" spans="6:23" x14ac:dyDescent="0.3">
      <c r="J278">
        <v>330</v>
      </c>
      <c r="K278">
        <v>10</v>
      </c>
      <c r="U278" t="s">
        <v>344</v>
      </c>
      <c r="V278" t="s">
        <v>45</v>
      </c>
      <c r="W278" s="1">
        <v>54</v>
      </c>
    </row>
    <row r="279" spans="6:23" x14ac:dyDescent="0.3">
      <c r="J279">
        <v>328</v>
      </c>
      <c r="K279">
        <v>10</v>
      </c>
      <c r="U279" t="s">
        <v>345</v>
      </c>
      <c r="V279" t="s">
        <v>143</v>
      </c>
      <c r="W279" s="1">
        <v>54</v>
      </c>
    </row>
    <row r="280" spans="6:23" x14ac:dyDescent="0.3">
      <c r="J280">
        <v>317</v>
      </c>
      <c r="K280">
        <v>10</v>
      </c>
      <c r="U280" t="s">
        <v>346</v>
      </c>
      <c r="V280" t="s">
        <v>75</v>
      </c>
      <c r="W280" s="1">
        <v>54</v>
      </c>
    </row>
    <row r="281" spans="6:23" x14ac:dyDescent="0.3">
      <c r="J281">
        <v>310</v>
      </c>
      <c r="K281">
        <v>10</v>
      </c>
      <c r="U281" t="s">
        <v>347</v>
      </c>
      <c r="V281" t="s">
        <v>310</v>
      </c>
      <c r="W281" s="1">
        <v>54</v>
      </c>
    </row>
    <row r="282" spans="6:23" x14ac:dyDescent="0.3">
      <c r="J282">
        <v>305</v>
      </c>
      <c r="K282">
        <v>10</v>
      </c>
      <c r="U282" t="s">
        <v>348</v>
      </c>
      <c r="V282" t="s">
        <v>75</v>
      </c>
      <c r="W282" s="1">
        <v>54</v>
      </c>
    </row>
    <row r="283" spans="6:23" x14ac:dyDescent="0.3">
      <c r="J283">
        <v>286</v>
      </c>
      <c r="K283">
        <v>10</v>
      </c>
      <c r="U283" t="s">
        <v>349</v>
      </c>
      <c r="V283" t="s">
        <v>182</v>
      </c>
      <c r="W283" s="1">
        <v>54</v>
      </c>
    </row>
    <row r="284" spans="6:23" x14ac:dyDescent="0.3">
      <c r="J284">
        <v>284</v>
      </c>
      <c r="K284">
        <v>10</v>
      </c>
      <c r="U284" t="s">
        <v>350</v>
      </c>
      <c r="V284" t="s">
        <v>73</v>
      </c>
      <c r="W284" s="1">
        <v>54</v>
      </c>
    </row>
    <row r="285" spans="6:23" x14ac:dyDescent="0.3">
      <c r="J285">
        <v>278</v>
      </c>
      <c r="K285">
        <v>10</v>
      </c>
      <c r="U285" t="s">
        <v>351</v>
      </c>
      <c r="V285" t="s">
        <v>11</v>
      </c>
      <c r="W285" s="1">
        <v>54</v>
      </c>
    </row>
    <row r="286" spans="6:23" x14ac:dyDescent="0.3">
      <c r="J286">
        <v>267</v>
      </c>
      <c r="K286">
        <v>10</v>
      </c>
      <c r="U286" t="s">
        <v>352</v>
      </c>
      <c r="V286" t="s">
        <v>17</v>
      </c>
      <c r="W286" s="1">
        <v>544</v>
      </c>
    </row>
    <row r="287" spans="6:23" x14ac:dyDescent="0.3">
      <c r="J287">
        <v>73</v>
      </c>
      <c r="K287">
        <v>9</v>
      </c>
      <c r="U287" t="s">
        <v>353</v>
      </c>
      <c r="V287" t="s">
        <v>354</v>
      </c>
      <c r="W287" s="1">
        <v>55</v>
      </c>
    </row>
    <row r="288" spans="6:23" x14ac:dyDescent="0.3">
      <c r="J288">
        <v>66</v>
      </c>
      <c r="K288">
        <v>9</v>
      </c>
      <c r="U288" t="s">
        <v>355</v>
      </c>
      <c r="V288" t="s">
        <v>177</v>
      </c>
      <c r="W288" s="1">
        <v>55</v>
      </c>
    </row>
    <row r="289" spans="10:23" x14ac:dyDescent="0.3">
      <c r="J289">
        <v>65</v>
      </c>
      <c r="K289">
        <v>9</v>
      </c>
      <c r="U289" t="s">
        <v>356</v>
      </c>
      <c r="V289" t="s">
        <v>77</v>
      </c>
      <c r="W289" s="1">
        <v>55</v>
      </c>
    </row>
    <row r="290" spans="10:23" x14ac:dyDescent="0.3">
      <c r="J290">
        <v>469</v>
      </c>
      <c r="K290">
        <v>9</v>
      </c>
      <c r="U290" t="s">
        <v>357</v>
      </c>
      <c r="V290" t="s">
        <v>39</v>
      </c>
      <c r="W290" s="1">
        <v>55</v>
      </c>
    </row>
    <row r="291" spans="10:23" x14ac:dyDescent="0.3">
      <c r="J291">
        <v>463</v>
      </c>
      <c r="K291">
        <v>9</v>
      </c>
      <c r="U291" t="s">
        <v>358</v>
      </c>
      <c r="V291" t="s">
        <v>65</v>
      </c>
      <c r="W291" s="1">
        <v>55</v>
      </c>
    </row>
    <row r="292" spans="10:23" x14ac:dyDescent="0.3">
      <c r="J292">
        <v>427</v>
      </c>
      <c r="K292">
        <v>9</v>
      </c>
      <c r="U292" t="s">
        <v>359</v>
      </c>
      <c r="V292" t="s">
        <v>101</v>
      </c>
      <c r="W292" s="1">
        <v>55</v>
      </c>
    </row>
    <row r="293" spans="10:23" x14ac:dyDescent="0.3">
      <c r="J293">
        <v>392</v>
      </c>
      <c r="K293">
        <v>9</v>
      </c>
      <c r="U293" t="s">
        <v>360</v>
      </c>
      <c r="V293" t="s">
        <v>158</v>
      </c>
      <c r="W293" s="1">
        <v>55</v>
      </c>
    </row>
    <row r="294" spans="10:23" x14ac:dyDescent="0.3">
      <c r="J294">
        <v>388</v>
      </c>
      <c r="K294">
        <v>9</v>
      </c>
      <c r="U294" t="s">
        <v>361</v>
      </c>
      <c r="V294" t="s">
        <v>362</v>
      </c>
      <c r="W294" s="1">
        <v>55</v>
      </c>
    </row>
    <row r="295" spans="10:23" x14ac:dyDescent="0.3">
      <c r="J295">
        <v>384</v>
      </c>
      <c r="K295">
        <v>9</v>
      </c>
      <c r="U295" t="s">
        <v>363</v>
      </c>
      <c r="V295" t="s">
        <v>29</v>
      </c>
      <c r="W295" s="1">
        <v>55</v>
      </c>
    </row>
    <row r="296" spans="10:23" x14ac:dyDescent="0.3">
      <c r="J296">
        <v>383</v>
      </c>
      <c r="K296">
        <v>9</v>
      </c>
      <c r="U296" t="s">
        <v>364</v>
      </c>
      <c r="V296" t="s">
        <v>73</v>
      </c>
      <c r="W296" s="1">
        <v>55</v>
      </c>
    </row>
    <row r="297" spans="10:23" x14ac:dyDescent="0.3">
      <c r="J297">
        <v>381</v>
      </c>
      <c r="K297">
        <v>9</v>
      </c>
      <c r="U297" t="s">
        <v>365</v>
      </c>
      <c r="V297" t="s">
        <v>182</v>
      </c>
      <c r="W297" s="1">
        <v>55</v>
      </c>
    </row>
    <row r="298" spans="10:23" x14ac:dyDescent="0.3">
      <c r="J298">
        <v>376</v>
      </c>
      <c r="K298">
        <v>9</v>
      </c>
      <c r="U298" t="s">
        <v>366</v>
      </c>
      <c r="V298" t="s">
        <v>127</v>
      </c>
      <c r="W298" s="1">
        <v>55</v>
      </c>
    </row>
    <row r="299" spans="10:23" x14ac:dyDescent="0.3">
      <c r="J299">
        <v>370</v>
      </c>
      <c r="K299">
        <v>9</v>
      </c>
      <c r="U299" t="s">
        <v>367</v>
      </c>
      <c r="V299" t="s">
        <v>75</v>
      </c>
      <c r="W299" s="1">
        <v>55</v>
      </c>
    </row>
    <row r="300" spans="10:23" x14ac:dyDescent="0.3">
      <c r="J300">
        <v>361</v>
      </c>
      <c r="K300">
        <v>9</v>
      </c>
      <c r="U300" t="s">
        <v>368</v>
      </c>
      <c r="V300" t="s">
        <v>127</v>
      </c>
      <c r="W300" s="1">
        <v>55</v>
      </c>
    </row>
    <row r="301" spans="10:23" x14ac:dyDescent="0.3">
      <c r="J301">
        <v>356</v>
      </c>
      <c r="K301">
        <v>9</v>
      </c>
      <c r="U301" t="s">
        <v>369</v>
      </c>
      <c r="V301" t="s">
        <v>114</v>
      </c>
      <c r="W301" s="1">
        <v>55</v>
      </c>
    </row>
    <row r="302" spans="10:23" x14ac:dyDescent="0.3">
      <c r="J302">
        <v>345</v>
      </c>
      <c r="K302">
        <v>9</v>
      </c>
      <c r="U302" t="s">
        <v>370</v>
      </c>
      <c r="V302" t="s">
        <v>114</v>
      </c>
      <c r="W302" s="1">
        <v>55</v>
      </c>
    </row>
    <row r="303" spans="10:23" x14ac:dyDescent="0.3">
      <c r="J303">
        <v>340</v>
      </c>
      <c r="K303">
        <v>9</v>
      </c>
      <c r="U303" t="s">
        <v>371</v>
      </c>
      <c r="V303" t="s">
        <v>222</v>
      </c>
      <c r="W303" s="1">
        <v>55</v>
      </c>
    </row>
    <row r="304" spans="10:23" x14ac:dyDescent="0.3">
      <c r="J304">
        <v>316</v>
      </c>
      <c r="K304">
        <v>9</v>
      </c>
      <c r="U304" t="s">
        <v>372</v>
      </c>
      <c r="V304" t="s">
        <v>90</v>
      </c>
      <c r="W304" s="1">
        <v>55</v>
      </c>
    </row>
    <row r="305" spans="10:23" x14ac:dyDescent="0.3">
      <c r="J305">
        <v>301</v>
      </c>
      <c r="K305">
        <v>9</v>
      </c>
      <c r="U305" t="s">
        <v>373</v>
      </c>
      <c r="V305" t="s">
        <v>11</v>
      </c>
      <c r="W305" s="1">
        <v>55</v>
      </c>
    </row>
    <row r="306" spans="10:23" x14ac:dyDescent="0.3">
      <c r="J306">
        <v>650</v>
      </c>
      <c r="K306">
        <v>8</v>
      </c>
      <c r="U306" t="s">
        <v>374</v>
      </c>
      <c r="V306" t="s">
        <v>375</v>
      </c>
      <c r="W306" s="1">
        <v>55</v>
      </c>
    </row>
    <row r="307" spans="10:23" x14ac:dyDescent="0.3">
      <c r="J307">
        <v>64</v>
      </c>
      <c r="K307">
        <v>8</v>
      </c>
      <c r="U307" t="s">
        <v>376</v>
      </c>
      <c r="V307" t="s">
        <v>73</v>
      </c>
      <c r="W307" s="1">
        <v>55</v>
      </c>
    </row>
    <row r="308" spans="10:23" x14ac:dyDescent="0.3">
      <c r="J308">
        <v>587</v>
      </c>
      <c r="K308">
        <v>8</v>
      </c>
      <c r="U308" t="s">
        <v>377</v>
      </c>
      <c r="V308" t="s">
        <v>39</v>
      </c>
      <c r="W308" s="1">
        <v>55</v>
      </c>
    </row>
    <row r="309" spans="10:23" x14ac:dyDescent="0.3">
      <c r="J309">
        <v>550</v>
      </c>
      <c r="K309">
        <v>8</v>
      </c>
      <c r="U309" t="s">
        <v>378</v>
      </c>
      <c r="V309" t="s">
        <v>354</v>
      </c>
      <c r="W309" s="1">
        <v>55</v>
      </c>
    </row>
    <row r="310" spans="10:23" x14ac:dyDescent="0.3">
      <c r="J310">
        <v>525</v>
      </c>
      <c r="K310">
        <v>8</v>
      </c>
      <c r="U310" t="s">
        <v>379</v>
      </c>
      <c r="V310" t="s">
        <v>380</v>
      </c>
      <c r="W310" s="1">
        <v>55</v>
      </c>
    </row>
    <row r="311" spans="10:23" x14ac:dyDescent="0.3">
      <c r="J311">
        <v>444</v>
      </c>
      <c r="K311">
        <v>8</v>
      </c>
      <c r="U311" t="s">
        <v>381</v>
      </c>
      <c r="V311" t="s">
        <v>71</v>
      </c>
      <c r="W311" s="1">
        <v>550</v>
      </c>
    </row>
    <row r="312" spans="10:23" x14ac:dyDescent="0.3">
      <c r="J312">
        <v>408</v>
      </c>
      <c r="K312">
        <v>8</v>
      </c>
      <c r="U312" t="s">
        <v>382</v>
      </c>
      <c r="V312" t="s">
        <v>71</v>
      </c>
      <c r="W312" s="1">
        <v>550</v>
      </c>
    </row>
    <row r="313" spans="10:23" x14ac:dyDescent="0.3">
      <c r="J313">
        <v>407</v>
      </c>
      <c r="K313">
        <v>8</v>
      </c>
      <c r="U313" t="s">
        <v>383</v>
      </c>
      <c r="V313" t="s">
        <v>17</v>
      </c>
      <c r="W313" s="1">
        <v>558</v>
      </c>
    </row>
    <row r="314" spans="10:23" x14ac:dyDescent="0.3">
      <c r="J314">
        <v>397</v>
      </c>
      <c r="K314">
        <v>8</v>
      </c>
      <c r="U314" t="s">
        <v>384</v>
      </c>
      <c r="V314" t="s">
        <v>158</v>
      </c>
      <c r="W314" s="1">
        <v>56</v>
      </c>
    </row>
    <row r="315" spans="10:23" x14ac:dyDescent="0.3">
      <c r="J315">
        <v>394</v>
      </c>
      <c r="K315">
        <v>8</v>
      </c>
      <c r="U315" t="s">
        <v>385</v>
      </c>
      <c r="V315" t="s">
        <v>127</v>
      </c>
      <c r="W315" s="1">
        <v>56</v>
      </c>
    </row>
    <row r="316" spans="10:23" x14ac:dyDescent="0.3">
      <c r="J316">
        <v>390</v>
      </c>
      <c r="K316">
        <v>8</v>
      </c>
      <c r="U316" t="s">
        <v>386</v>
      </c>
      <c r="V316" t="s">
        <v>327</v>
      </c>
      <c r="W316" s="1">
        <v>56</v>
      </c>
    </row>
    <row r="317" spans="10:23" x14ac:dyDescent="0.3">
      <c r="J317">
        <v>379</v>
      </c>
      <c r="K317">
        <v>8</v>
      </c>
      <c r="U317" t="s">
        <v>387</v>
      </c>
      <c r="V317" t="s">
        <v>203</v>
      </c>
      <c r="W317" s="1">
        <v>56</v>
      </c>
    </row>
    <row r="318" spans="10:23" x14ac:dyDescent="0.3">
      <c r="J318">
        <v>375</v>
      </c>
      <c r="K318">
        <v>8</v>
      </c>
      <c r="U318" t="s">
        <v>388</v>
      </c>
      <c r="V318" t="s">
        <v>77</v>
      </c>
      <c r="W318" s="1">
        <v>56</v>
      </c>
    </row>
    <row r="319" spans="10:23" x14ac:dyDescent="0.3">
      <c r="J319">
        <v>373</v>
      </c>
      <c r="K319">
        <v>8</v>
      </c>
      <c r="U319" t="s">
        <v>389</v>
      </c>
      <c r="V319" t="s">
        <v>244</v>
      </c>
      <c r="W319" s="1">
        <v>56</v>
      </c>
    </row>
    <row r="320" spans="10:23" x14ac:dyDescent="0.3">
      <c r="J320">
        <v>366</v>
      </c>
      <c r="K320">
        <v>8</v>
      </c>
      <c r="U320" t="s">
        <v>390</v>
      </c>
      <c r="V320" t="s">
        <v>97</v>
      </c>
      <c r="W320" s="1">
        <v>56</v>
      </c>
    </row>
    <row r="321" spans="10:23" x14ac:dyDescent="0.3">
      <c r="J321">
        <v>363</v>
      </c>
      <c r="K321">
        <v>8</v>
      </c>
      <c r="U321" t="s">
        <v>391</v>
      </c>
      <c r="V321" t="s">
        <v>63</v>
      </c>
      <c r="W321" s="1">
        <v>56</v>
      </c>
    </row>
    <row r="322" spans="10:23" x14ac:dyDescent="0.3">
      <c r="J322">
        <v>354</v>
      </c>
      <c r="K322">
        <v>8</v>
      </c>
      <c r="U322" t="s">
        <v>392</v>
      </c>
      <c r="V322" t="s">
        <v>112</v>
      </c>
      <c r="W322" s="1">
        <v>56</v>
      </c>
    </row>
    <row r="323" spans="10:23" x14ac:dyDescent="0.3">
      <c r="J323">
        <v>353</v>
      </c>
      <c r="K323">
        <v>8</v>
      </c>
      <c r="U323" t="s">
        <v>393</v>
      </c>
      <c r="V323" t="s">
        <v>394</v>
      </c>
      <c r="W323" s="1">
        <v>56</v>
      </c>
    </row>
    <row r="324" spans="10:23" x14ac:dyDescent="0.3">
      <c r="J324">
        <v>351</v>
      </c>
      <c r="K324">
        <v>8</v>
      </c>
      <c r="U324" t="s">
        <v>395</v>
      </c>
      <c r="V324" t="s">
        <v>171</v>
      </c>
      <c r="W324" s="1">
        <v>56</v>
      </c>
    </row>
    <row r="325" spans="10:23" x14ac:dyDescent="0.3">
      <c r="J325">
        <v>349</v>
      </c>
      <c r="K325">
        <v>8</v>
      </c>
      <c r="U325" t="s">
        <v>396</v>
      </c>
      <c r="V325" t="s">
        <v>63</v>
      </c>
      <c r="W325" s="1">
        <v>56</v>
      </c>
    </row>
    <row r="326" spans="10:23" x14ac:dyDescent="0.3">
      <c r="J326">
        <v>344</v>
      </c>
      <c r="K326">
        <v>8</v>
      </c>
      <c r="U326" t="s">
        <v>397</v>
      </c>
      <c r="V326" t="s">
        <v>42</v>
      </c>
      <c r="W326" s="1">
        <v>56</v>
      </c>
    </row>
    <row r="327" spans="10:23" x14ac:dyDescent="0.3">
      <c r="J327">
        <v>342</v>
      </c>
      <c r="K327">
        <v>8</v>
      </c>
      <c r="U327" t="s">
        <v>398</v>
      </c>
      <c r="V327" t="s">
        <v>42</v>
      </c>
      <c r="W327" s="1">
        <v>56</v>
      </c>
    </row>
    <row r="328" spans="10:23" x14ac:dyDescent="0.3">
      <c r="J328">
        <v>333</v>
      </c>
      <c r="K328">
        <v>8</v>
      </c>
      <c r="U328" t="s">
        <v>399</v>
      </c>
      <c r="V328" t="s">
        <v>42</v>
      </c>
      <c r="W328" s="1">
        <v>56</v>
      </c>
    </row>
    <row r="329" spans="10:23" x14ac:dyDescent="0.3">
      <c r="J329">
        <v>313</v>
      </c>
      <c r="K329">
        <v>8</v>
      </c>
      <c r="U329" t="s">
        <v>400</v>
      </c>
      <c r="V329" t="s">
        <v>59</v>
      </c>
      <c r="W329" s="1">
        <v>56</v>
      </c>
    </row>
    <row r="330" spans="10:23" x14ac:dyDescent="0.3">
      <c r="J330">
        <v>309</v>
      </c>
      <c r="K330">
        <v>8</v>
      </c>
      <c r="U330" t="s">
        <v>401</v>
      </c>
      <c r="V330" t="s">
        <v>42</v>
      </c>
      <c r="W330" s="1">
        <v>56</v>
      </c>
    </row>
    <row r="331" spans="10:23" x14ac:dyDescent="0.3">
      <c r="J331">
        <v>302</v>
      </c>
      <c r="K331">
        <v>8</v>
      </c>
      <c r="U331" t="s">
        <v>402</v>
      </c>
      <c r="V331" t="s">
        <v>257</v>
      </c>
      <c r="W331" s="1">
        <v>56</v>
      </c>
    </row>
    <row r="332" spans="10:23" x14ac:dyDescent="0.3">
      <c r="J332">
        <v>264</v>
      </c>
      <c r="K332">
        <v>8</v>
      </c>
      <c r="U332" t="s">
        <v>403</v>
      </c>
      <c r="V332" t="s">
        <v>140</v>
      </c>
      <c r="W332" s="1">
        <v>56</v>
      </c>
    </row>
    <row r="333" spans="10:23" x14ac:dyDescent="0.3">
      <c r="J333">
        <v>900</v>
      </c>
      <c r="K333">
        <v>7</v>
      </c>
      <c r="U333" t="s">
        <v>404</v>
      </c>
      <c r="V333" t="s">
        <v>127</v>
      </c>
      <c r="W333" s="1">
        <v>56</v>
      </c>
    </row>
    <row r="334" spans="10:23" x14ac:dyDescent="0.3">
      <c r="J334">
        <v>850</v>
      </c>
      <c r="K334">
        <v>7</v>
      </c>
      <c r="U334" t="s">
        <v>405</v>
      </c>
      <c r="V334" t="s">
        <v>73</v>
      </c>
      <c r="W334" s="1">
        <v>56</v>
      </c>
    </row>
    <row r="335" spans="10:23" x14ac:dyDescent="0.3">
      <c r="J335">
        <v>720</v>
      </c>
      <c r="K335">
        <v>7</v>
      </c>
      <c r="U335" t="s">
        <v>406</v>
      </c>
      <c r="V335" t="s">
        <v>17</v>
      </c>
      <c r="W335" s="1">
        <v>566</v>
      </c>
    </row>
    <row r="336" spans="10:23" x14ac:dyDescent="0.3">
      <c r="J336">
        <v>68</v>
      </c>
      <c r="K336">
        <v>7</v>
      </c>
      <c r="U336" t="s">
        <v>407</v>
      </c>
      <c r="V336" t="s">
        <v>11</v>
      </c>
      <c r="W336" s="1">
        <v>57</v>
      </c>
    </row>
    <row r="337" spans="10:23" x14ac:dyDescent="0.3">
      <c r="J337">
        <v>61</v>
      </c>
      <c r="K337">
        <v>7</v>
      </c>
      <c r="U337" t="s">
        <v>408</v>
      </c>
      <c r="V337" t="s">
        <v>42</v>
      </c>
      <c r="W337" s="1">
        <v>57</v>
      </c>
    </row>
    <row r="338" spans="10:23" x14ac:dyDescent="0.3">
      <c r="J338">
        <v>59</v>
      </c>
      <c r="K338">
        <v>7</v>
      </c>
      <c r="U338" t="s">
        <v>409</v>
      </c>
      <c r="V338" t="s">
        <v>158</v>
      </c>
      <c r="W338" s="1">
        <v>57</v>
      </c>
    </row>
    <row r="339" spans="10:23" x14ac:dyDescent="0.3">
      <c r="J339">
        <v>521</v>
      </c>
      <c r="K339">
        <v>7</v>
      </c>
      <c r="U339" t="s">
        <v>410</v>
      </c>
      <c r="V339" t="s">
        <v>75</v>
      </c>
      <c r="W339" s="1">
        <v>57</v>
      </c>
    </row>
    <row r="340" spans="10:23" x14ac:dyDescent="0.3">
      <c r="J340">
        <v>503</v>
      </c>
      <c r="K340">
        <v>7</v>
      </c>
      <c r="U340" t="s">
        <v>411</v>
      </c>
      <c r="V340" t="s">
        <v>42</v>
      </c>
      <c r="W340" s="1">
        <v>57</v>
      </c>
    </row>
    <row r="341" spans="10:23" x14ac:dyDescent="0.3">
      <c r="J341">
        <v>50000</v>
      </c>
      <c r="K341">
        <v>7</v>
      </c>
      <c r="U341" t="s">
        <v>412</v>
      </c>
      <c r="V341" t="s">
        <v>63</v>
      </c>
      <c r="W341" s="1">
        <v>57</v>
      </c>
    </row>
    <row r="342" spans="10:23" x14ac:dyDescent="0.3">
      <c r="J342">
        <v>489</v>
      </c>
      <c r="K342">
        <v>7</v>
      </c>
      <c r="U342" t="s">
        <v>413</v>
      </c>
      <c r="V342" t="s">
        <v>42</v>
      </c>
      <c r="W342" s="1">
        <v>57</v>
      </c>
    </row>
    <row r="343" spans="10:23" x14ac:dyDescent="0.3">
      <c r="J343">
        <v>486</v>
      </c>
      <c r="K343">
        <v>7</v>
      </c>
      <c r="U343" t="s">
        <v>414</v>
      </c>
      <c r="V343" t="s">
        <v>415</v>
      </c>
      <c r="W343" s="1">
        <v>57</v>
      </c>
    </row>
    <row r="344" spans="10:23" x14ac:dyDescent="0.3">
      <c r="J344">
        <v>481</v>
      </c>
      <c r="K344">
        <v>7</v>
      </c>
      <c r="U344" t="s">
        <v>416</v>
      </c>
      <c r="V344" t="s">
        <v>240</v>
      </c>
      <c r="W344" s="1">
        <v>57</v>
      </c>
    </row>
    <row r="345" spans="10:23" x14ac:dyDescent="0.3">
      <c r="J345">
        <v>480</v>
      </c>
      <c r="K345">
        <v>7</v>
      </c>
      <c r="U345" t="s">
        <v>417</v>
      </c>
      <c r="V345" t="s">
        <v>182</v>
      </c>
      <c r="W345" s="1">
        <v>57</v>
      </c>
    </row>
    <row r="346" spans="10:23" x14ac:dyDescent="0.3">
      <c r="J346">
        <v>464</v>
      </c>
      <c r="K346">
        <v>7</v>
      </c>
      <c r="U346" t="s">
        <v>418</v>
      </c>
      <c r="V346" t="s">
        <v>21</v>
      </c>
      <c r="W346" s="1">
        <v>57</v>
      </c>
    </row>
    <row r="347" spans="10:23" x14ac:dyDescent="0.3">
      <c r="J347">
        <v>449</v>
      </c>
      <c r="K347">
        <v>7</v>
      </c>
      <c r="U347" t="s">
        <v>419</v>
      </c>
      <c r="V347" t="s">
        <v>45</v>
      </c>
      <c r="W347" s="1">
        <v>57</v>
      </c>
    </row>
    <row r="348" spans="10:23" x14ac:dyDescent="0.3">
      <c r="J348">
        <v>443</v>
      </c>
      <c r="K348">
        <v>7</v>
      </c>
      <c r="U348" t="s">
        <v>420</v>
      </c>
      <c r="V348" t="s">
        <v>73</v>
      </c>
      <c r="W348" s="1">
        <v>57</v>
      </c>
    </row>
    <row r="349" spans="10:23" x14ac:dyDescent="0.3">
      <c r="J349">
        <v>442</v>
      </c>
      <c r="K349">
        <v>7</v>
      </c>
      <c r="U349" t="s">
        <v>421</v>
      </c>
      <c r="V349" t="s">
        <v>75</v>
      </c>
      <c r="W349" s="1">
        <v>57</v>
      </c>
    </row>
    <row r="350" spans="10:23" x14ac:dyDescent="0.3">
      <c r="J350">
        <v>433</v>
      </c>
      <c r="K350">
        <v>7</v>
      </c>
      <c r="U350" t="s">
        <v>422</v>
      </c>
      <c r="V350" t="s">
        <v>73</v>
      </c>
      <c r="W350" s="1">
        <v>57</v>
      </c>
    </row>
    <row r="351" spans="10:23" x14ac:dyDescent="0.3">
      <c r="J351">
        <v>416</v>
      </c>
      <c r="K351">
        <v>7</v>
      </c>
      <c r="U351" t="s">
        <v>423</v>
      </c>
      <c r="V351" t="s">
        <v>127</v>
      </c>
      <c r="W351" s="1">
        <v>57</v>
      </c>
    </row>
    <row r="352" spans="10:23" x14ac:dyDescent="0.3">
      <c r="J352">
        <v>414</v>
      </c>
      <c r="K352">
        <v>7</v>
      </c>
      <c r="U352" t="s">
        <v>424</v>
      </c>
      <c r="V352" t="s">
        <v>63</v>
      </c>
      <c r="W352" s="1">
        <v>57</v>
      </c>
    </row>
    <row r="353" spans="10:23" x14ac:dyDescent="0.3">
      <c r="J353">
        <v>402</v>
      </c>
      <c r="K353">
        <v>7</v>
      </c>
      <c r="U353" t="s">
        <v>425</v>
      </c>
      <c r="V353" t="s">
        <v>127</v>
      </c>
      <c r="W353" s="1">
        <v>57</v>
      </c>
    </row>
    <row r="354" spans="10:23" x14ac:dyDescent="0.3">
      <c r="J354">
        <v>396</v>
      </c>
      <c r="K354">
        <v>7</v>
      </c>
      <c r="U354" t="s">
        <v>426</v>
      </c>
      <c r="V354" t="s">
        <v>415</v>
      </c>
      <c r="W354" s="1">
        <v>57</v>
      </c>
    </row>
    <row r="355" spans="10:23" x14ac:dyDescent="0.3">
      <c r="J355">
        <v>386</v>
      </c>
      <c r="K355">
        <v>7</v>
      </c>
      <c r="U355" t="s">
        <v>427</v>
      </c>
      <c r="V355" t="s">
        <v>73</v>
      </c>
      <c r="W355" s="1">
        <v>58</v>
      </c>
    </row>
    <row r="356" spans="10:23" x14ac:dyDescent="0.3">
      <c r="J356">
        <v>368</v>
      </c>
      <c r="K356">
        <v>7</v>
      </c>
      <c r="U356" t="s">
        <v>428</v>
      </c>
      <c r="V356" t="s">
        <v>73</v>
      </c>
      <c r="W356" s="1">
        <v>58</v>
      </c>
    </row>
    <row r="357" spans="10:23" x14ac:dyDescent="0.3">
      <c r="J357">
        <v>334</v>
      </c>
      <c r="K357">
        <v>7</v>
      </c>
      <c r="U357" t="s">
        <v>429</v>
      </c>
      <c r="V357" t="s">
        <v>182</v>
      </c>
      <c r="W357" s="1">
        <v>58</v>
      </c>
    </row>
    <row r="358" spans="10:23" x14ac:dyDescent="0.3">
      <c r="J358">
        <v>331</v>
      </c>
      <c r="K358">
        <v>7</v>
      </c>
      <c r="U358" t="s">
        <v>430</v>
      </c>
      <c r="V358" t="s">
        <v>23</v>
      </c>
      <c r="W358" s="1">
        <v>58</v>
      </c>
    </row>
    <row r="359" spans="10:23" x14ac:dyDescent="0.3">
      <c r="J359">
        <v>329</v>
      </c>
      <c r="K359">
        <v>7</v>
      </c>
      <c r="U359" t="s">
        <v>431</v>
      </c>
      <c r="V359" t="s">
        <v>29</v>
      </c>
      <c r="W359" s="1">
        <v>58</v>
      </c>
    </row>
    <row r="360" spans="10:23" x14ac:dyDescent="0.3">
      <c r="J360">
        <v>311</v>
      </c>
      <c r="K360">
        <v>7</v>
      </c>
      <c r="U360" t="s">
        <v>432</v>
      </c>
      <c r="V360" t="s">
        <v>127</v>
      </c>
      <c r="W360" s="1">
        <v>58</v>
      </c>
    </row>
    <row r="361" spans="10:23" x14ac:dyDescent="0.3">
      <c r="J361">
        <v>306</v>
      </c>
      <c r="K361">
        <v>7</v>
      </c>
      <c r="U361" t="s">
        <v>433</v>
      </c>
      <c r="V361" t="s">
        <v>182</v>
      </c>
      <c r="W361" s="1">
        <v>58</v>
      </c>
    </row>
    <row r="362" spans="10:23" x14ac:dyDescent="0.3">
      <c r="J362">
        <v>639</v>
      </c>
      <c r="K362">
        <v>6</v>
      </c>
      <c r="U362" t="s">
        <v>434</v>
      </c>
      <c r="V362" t="s">
        <v>59</v>
      </c>
      <c r="W362" s="1">
        <v>58</v>
      </c>
    </row>
    <row r="363" spans="10:23" x14ac:dyDescent="0.3">
      <c r="J363">
        <v>589</v>
      </c>
      <c r="K363">
        <v>6</v>
      </c>
      <c r="U363" t="s">
        <v>435</v>
      </c>
      <c r="V363" t="s">
        <v>73</v>
      </c>
      <c r="W363" s="1">
        <v>58</v>
      </c>
    </row>
    <row r="364" spans="10:23" x14ac:dyDescent="0.3">
      <c r="J364">
        <v>585</v>
      </c>
      <c r="K364">
        <v>6</v>
      </c>
      <c r="U364" t="s">
        <v>436</v>
      </c>
      <c r="V364" t="s">
        <v>59</v>
      </c>
      <c r="W364" s="1">
        <v>58</v>
      </c>
    </row>
    <row r="365" spans="10:23" x14ac:dyDescent="0.3">
      <c r="J365">
        <v>571</v>
      </c>
      <c r="K365">
        <v>6</v>
      </c>
      <c r="U365" t="s">
        <v>437</v>
      </c>
      <c r="V365" t="s">
        <v>257</v>
      </c>
      <c r="W365" s="1">
        <v>58</v>
      </c>
    </row>
    <row r="366" spans="10:23" x14ac:dyDescent="0.3">
      <c r="J366">
        <v>555</v>
      </c>
      <c r="K366">
        <v>6</v>
      </c>
      <c r="U366" t="s">
        <v>438</v>
      </c>
      <c r="V366" t="s">
        <v>73</v>
      </c>
      <c r="W366" s="1">
        <v>58</v>
      </c>
    </row>
    <row r="367" spans="10:23" x14ac:dyDescent="0.3">
      <c r="J367">
        <v>549</v>
      </c>
      <c r="K367">
        <v>6</v>
      </c>
      <c r="U367" t="s">
        <v>439</v>
      </c>
      <c r="V367" t="s">
        <v>171</v>
      </c>
      <c r="W367" s="1">
        <v>58</v>
      </c>
    </row>
    <row r="368" spans="10:23" x14ac:dyDescent="0.3">
      <c r="J368">
        <v>537</v>
      </c>
      <c r="K368">
        <v>6</v>
      </c>
      <c r="U368" t="s">
        <v>440</v>
      </c>
      <c r="V368" t="s">
        <v>158</v>
      </c>
      <c r="W368" s="1">
        <v>58</v>
      </c>
    </row>
    <row r="369" spans="10:23" x14ac:dyDescent="0.3">
      <c r="J369">
        <v>468</v>
      </c>
      <c r="K369">
        <v>6</v>
      </c>
      <c r="U369" t="s">
        <v>441</v>
      </c>
      <c r="V369" t="s">
        <v>164</v>
      </c>
      <c r="W369" s="1">
        <v>58</v>
      </c>
    </row>
    <row r="370" spans="10:23" x14ac:dyDescent="0.3">
      <c r="J370">
        <v>466</v>
      </c>
      <c r="K370">
        <v>6</v>
      </c>
      <c r="U370" t="s">
        <v>442</v>
      </c>
      <c r="V370" t="s">
        <v>77</v>
      </c>
      <c r="W370" s="1">
        <v>58</v>
      </c>
    </row>
    <row r="371" spans="10:23" x14ac:dyDescent="0.3">
      <c r="J371">
        <v>457</v>
      </c>
      <c r="K371">
        <v>6</v>
      </c>
      <c r="U371" t="s">
        <v>443</v>
      </c>
      <c r="V371" t="s">
        <v>158</v>
      </c>
      <c r="W371" s="1">
        <v>58</v>
      </c>
    </row>
    <row r="372" spans="10:23" x14ac:dyDescent="0.3">
      <c r="J372">
        <v>455</v>
      </c>
      <c r="K372">
        <v>6</v>
      </c>
      <c r="U372" t="s">
        <v>444</v>
      </c>
      <c r="V372" t="s">
        <v>73</v>
      </c>
      <c r="W372" s="1">
        <v>58</v>
      </c>
    </row>
    <row r="373" spans="10:23" x14ac:dyDescent="0.3">
      <c r="J373">
        <v>453</v>
      </c>
      <c r="K373">
        <v>6</v>
      </c>
      <c r="U373" t="s">
        <v>445</v>
      </c>
      <c r="V373" t="s">
        <v>182</v>
      </c>
      <c r="W373" s="1">
        <v>58</v>
      </c>
    </row>
    <row r="374" spans="10:23" x14ac:dyDescent="0.3">
      <c r="J374">
        <v>452</v>
      </c>
      <c r="K374">
        <v>6</v>
      </c>
      <c r="U374" t="s">
        <v>446</v>
      </c>
      <c r="V374" t="s">
        <v>29</v>
      </c>
      <c r="W374" s="1">
        <v>58</v>
      </c>
    </row>
    <row r="375" spans="10:23" x14ac:dyDescent="0.3">
      <c r="J375">
        <v>448</v>
      </c>
      <c r="K375">
        <v>6</v>
      </c>
      <c r="U375" t="s">
        <v>447</v>
      </c>
      <c r="V375" t="s">
        <v>168</v>
      </c>
      <c r="W375" s="1">
        <v>58</v>
      </c>
    </row>
    <row r="376" spans="10:23" x14ac:dyDescent="0.3">
      <c r="J376">
        <v>447</v>
      </c>
      <c r="K376">
        <v>6</v>
      </c>
      <c r="U376" t="s">
        <v>448</v>
      </c>
      <c r="V376" t="s">
        <v>77</v>
      </c>
      <c r="W376" s="1">
        <v>58</v>
      </c>
    </row>
    <row r="377" spans="10:23" x14ac:dyDescent="0.3">
      <c r="J377">
        <v>446</v>
      </c>
      <c r="K377">
        <v>6</v>
      </c>
      <c r="U377" t="s">
        <v>449</v>
      </c>
      <c r="V377" t="s">
        <v>29</v>
      </c>
      <c r="W377" s="1">
        <v>58</v>
      </c>
    </row>
    <row r="378" spans="10:23" x14ac:dyDescent="0.3">
      <c r="J378">
        <v>439</v>
      </c>
      <c r="K378">
        <v>6</v>
      </c>
      <c r="U378" t="s">
        <v>450</v>
      </c>
      <c r="V378" t="s">
        <v>80</v>
      </c>
      <c r="W378" s="1">
        <v>58</v>
      </c>
    </row>
    <row r="379" spans="10:23" x14ac:dyDescent="0.3">
      <c r="J379">
        <v>437</v>
      </c>
      <c r="K379">
        <v>6</v>
      </c>
      <c r="U379" t="s">
        <v>451</v>
      </c>
      <c r="V379" t="s">
        <v>182</v>
      </c>
      <c r="W379" s="1">
        <v>58</v>
      </c>
    </row>
    <row r="380" spans="10:23" x14ac:dyDescent="0.3">
      <c r="J380">
        <v>419</v>
      </c>
      <c r="K380">
        <v>6</v>
      </c>
      <c r="U380" t="s">
        <v>452</v>
      </c>
      <c r="V380" t="s">
        <v>164</v>
      </c>
      <c r="W380" s="1">
        <v>58</v>
      </c>
    </row>
    <row r="381" spans="10:23" x14ac:dyDescent="0.3">
      <c r="J381">
        <v>415</v>
      </c>
      <c r="K381">
        <v>6</v>
      </c>
      <c r="U381" t="s">
        <v>453</v>
      </c>
      <c r="V381" t="s">
        <v>324</v>
      </c>
      <c r="W381" s="1">
        <v>581</v>
      </c>
    </row>
    <row r="382" spans="10:23" x14ac:dyDescent="0.3">
      <c r="J382">
        <v>411</v>
      </c>
      <c r="K382">
        <v>6</v>
      </c>
      <c r="U382" t="s">
        <v>454</v>
      </c>
      <c r="V382" t="s">
        <v>39</v>
      </c>
      <c r="W382" s="1">
        <v>59</v>
      </c>
    </row>
    <row r="383" spans="10:23" x14ac:dyDescent="0.3">
      <c r="J383">
        <v>410</v>
      </c>
      <c r="K383">
        <v>6</v>
      </c>
      <c r="U383" t="s">
        <v>455</v>
      </c>
      <c r="V383" t="s">
        <v>63</v>
      </c>
      <c r="W383" s="1">
        <v>59</v>
      </c>
    </row>
    <row r="384" spans="10:23" x14ac:dyDescent="0.3">
      <c r="J384">
        <v>409</v>
      </c>
      <c r="K384">
        <v>6</v>
      </c>
      <c r="U384" t="s">
        <v>456</v>
      </c>
      <c r="V384" t="s">
        <v>246</v>
      </c>
      <c r="W384" s="1">
        <v>59</v>
      </c>
    </row>
    <row r="385" spans="10:23" x14ac:dyDescent="0.3">
      <c r="J385">
        <v>387</v>
      </c>
      <c r="K385">
        <v>6</v>
      </c>
      <c r="U385" t="s">
        <v>457</v>
      </c>
      <c r="V385" t="s">
        <v>75</v>
      </c>
      <c r="W385" s="1">
        <v>59</v>
      </c>
    </row>
    <row r="386" spans="10:23" x14ac:dyDescent="0.3">
      <c r="J386">
        <v>385</v>
      </c>
      <c r="K386">
        <v>6</v>
      </c>
      <c r="U386" t="s">
        <v>458</v>
      </c>
      <c r="V386" t="s">
        <v>459</v>
      </c>
      <c r="W386" s="1">
        <v>59</v>
      </c>
    </row>
    <row r="387" spans="10:23" x14ac:dyDescent="0.3">
      <c r="J387">
        <v>369</v>
      </c>
      <c r="K387">
        <v>6</v>
      </c>
      <c r="U387" t="s">
        <v>460</v>
      </c>
      <c r="V387" t="s">
        <v>232</v>
      </c>
      <c r="W387" s="1">
        <v>59</v>
      </c>
    </row>
    <row r="388" spans="10:23" x14ac:dyDescent="0.3">
      <c r="J388">
        <v>364</v>
      </c>
      <c r="K388">
        <v>6</v>
      </c>
      <c r="U388" t="s">
        <v>461</v>
      </c>
      <c r="V388" t="s">
        <v>11</v>
      </c>
      <c r="W388" s="1">
        <v>59</v>
      </c>
    </row>
    <row r="389" spans="10:23" x14ac:dyDescent="0.3">
      <c r="J389">
        <v>348</v>
      </c>
      <c r="K389">
        <v>6</v>
      </c>
      <c r="U389" t="s">
        <v>462</v>
      </c>
      <c r="V389" t="s">
        <v>114</v>
      </c>
      <c r="W389" s="1">
        <v>59</v>
      </c>
    </row>
    <row r="390" spans="10:23" x14ac:dyDescent="0.3">
      <c r="J390">
        <v>346</v>
      </c>
      <c r="K390">
        <v>6</v>
      </c>
      <c r="U390" t="s">
        <v>463</v>
      </c>
      <c r="V390" t="s">
        <v>182</v>
      </c>
      <c r="W390" s="1">
        <v>59</v>
      </c>
    </row>
    <row r="391" spans="10:23" x14ac:dyDescent="0.3">
      <c r="J391">
        <v>326</v>
      </c>
      <c r="K391">
        <v>6</v>
      </c>
      <c r="U391" t="s">
        <v>464</v>
      </c>
      <c r="V391" t="s">
        <v>232</v>
      </c>
      <c r="W391" s="1">
        <v>59</v>
      </c>
    </row>
    <row r="392" spans="10:23" x14ac:dyDescent="0.3">
      <c r="J392">
        <v>975</v>
      </c>
      <c r="K392">
        <v>5</v>
      </c>
      <c r="U392" t="s">
        <v>465</v>
      </c>
      <c r="V392" t="s">
        <v>73</v>
      </c>
      <c r="W392" s="1">
        <v>59</v>
      </c>
    </row>
    <row r="393" spans="10:23" x14ac:dyDescent="0.3">
      <c r="J393">
        <v>950</v>
      </c>
      <c r="K393">
        <v>5</v>
      </c>
      <c r="U393" t="s">
        <v>466</v>
      </c>
      <c r="V393" t="s">
        <v>73</v>
      </c>
      <c r="W393" s="1">
        <v>59</v>
      </c>
    </row>
    <row r="394" spans="10:23" x14ac:dyDescent="0.3">
      <c r="J394">
        <v>787</v>
      </c>
      <c r="K394">
        <v>5</v>
      </c>
      <c r="U394" t="s">
        <v>467</v>
      </c>
      <c r="V394" t="s">
        <v>63</v>
      </c>
      <c r="W394" s="1">
        <v>59</v>
      </c>
    </row>
    <row r="395" spans="10:23" x14ac:dyDescent="0.3">
      <c r="J395">
        <v>765</v>
      </c>
      <c r="K395">
        <v>5</v>
      </c>
      <c r="U395" t="s">
        <v>468</v>
      </c>
      <c r="V395" t="s">
        <v>127</v>
      </c>
      <c r="W395" s="1">
        <v>59</v>
      </c>
    </row>
    <row r="396" spans="10:23" x14ac:dyDescent="0.3">
      <c r="J396">
        <v>750</v>
      </c>
      <c r="K396">
        <v>5</v>
      </c>
      <c r="U396" t="s">
        <v>469</v>
      </c>
      <c r="V396" t="s">
        <v>75</v>
      </c>
      <c r="W396" s="1">
        <v>59</v>
      </c>
    </row>
    <row r="397" spans="10:23" x14ac:dyDescent="0.3">
      <c r="J397">
        <v>734</v>
      </c>
      <c r="K397">
        <v>5</v>
      </c>
      <c r="U397" t="s">
        <v>470</v>
      </c>
      <c r="V397" t="s">
        <v>246</v>
      </c>
      <c r="W397" s="1">
        <v>59</v>
      </c>
    </row>
    <row r="398" spans="10:23" x14ac:dyDescent="0.3">
      <c r="J398">
        <v>630</v>
      </c>
      <c r="K398">
        <v>5</v>
      </c>
      <c r="U398" t="s">
        <v>471</v>
      </c>
      <c r="V398" t="s">
        <v>73</v>
      </c>
      <c r="W398" s="1">
        <v>59</v>
      </c>
    </row>
    <row r="399" spans="10:23" x14ac:dyDescent="0.3">
      <c r="J399">
        <v>63</v>
      </c>
      <c r="K399">
        <v>5</v>
      </c>
      <c r="U399" t="s">
        <v>472</v>
      </c>
      <c r="V399" t="s">
        <v>182</v>
      </c>
      <c r="W399" s="1">
        <v>59</v>
      </c>
    </row>
    <row r="400" spans="10:23" x14ac:dyDescent="0.3">
      <c r="J400">
        <v>623</v>
      </c>
      <c r="K400">
        <v>5</v>
      </c>
      <c r="U400" t="s">
        <v>473</v>
      </c>
      <c r="V400" t="s">
        <v>244</v>
      </c>
      <c r="W400" s="1">
        <v>59</v>
      </c>
    </row>
    <row r="401" spans="10:23" x14ac:dyDescent="0.3">
      <c r="J401">
        <v>620</v>
      </c>
      <c r="K401">
        <v>5</v>
      </c>
      <c r="U401" t="s">
        <v>474</v>
      </c>
      <c r="V401" t="s">
        <v>158</v>
      </c>
      <c r="W401" s="1">
        <v>59</v>
      </c>
    </row>
    <row r="402" spans="10:23" x14ac:dyDescent="0.3">
      <c r="J402">
        <v>62</v>
      </c>
      <c r="K402">
        <v>5</v>
      </c>
      <c r="U402" t="s">
        <v>475</v>
      </c>
      <c r="V402" t="s">
        <v>143</v>
      </c>
      <c r="W402" s="1">
        <v>59</v>
      </c>
    </row>
    <row r="403" spans="10:23" x14ac:dyDescent="0.3">
      <c r="J403">
        <v>598</v>
      </c>
      <c r="K403">
        <v>5</v>
      </c>
      <c r="U403" t="s">
        <v>476</v>
      </c>
      <c r="V403" t="s">
        <v>21</v>
      </c>
      <c r="W403" s="1">
        <v>59</v>
      </c>
    </row>
    <row r="404" spans="10:23" x14ac:dyDescent="0.3">
      <c r="J404">
        <v>595</v>
      </c>
      <c r="K404">
        <v>5</v>
      </c>
      <c r="U404" t="s">
        <v>477</v>
      </c>
      <c r="V404" t="s">
        <v>354</v>
      </c>
      <c r="W404" s="1">
        <v>60</v>
      </c>
    </row>
    <row r="405" spans="10:23" x14ac:dyDescent="0.3">
      <c r="J405">
        <v>572</v>
      </c>
      <c r="K405">
        <v>5</v>
      </c>
      <c r="U405" t="s">
        <v>478</v>
      </c>
      <c r="V405" t="s">
        <v>140</v>
      </c>
      <c r="W405" s="1">
        <v>60</v>
      </c>
    </row>
    <row r="406" spans="10:23" x14ac:dyDescent="0.3">
      <c r="J406">
        <v>565</v>
      </c>
      <c r="K406">
        <v>5</v>
      </c>
      <c r="U406" t="s">
        <v>479</v>
      </c>
      <c r="V406" t="s">
        <v>77</v>
      </c>
      <c r="W406" s="1">
        <v>60</v>
      </c>
    </row>
    <row r="407" spans="10:23" x14ac:dyDescent="0.3">
      <c r="J407">
        <v>553</v>
      </c>
      <c r="K407">
        <v>5</v>
      </c>
      <c r="U407" t="s">
        <v>480</v>
      </c>
      <c r="V407" t="s">
        <v>228</v>
      </c>
      <c r="W407" s="1">
        <v>60</v>
      </c>
    </row>
    <row r="408" spans="10:23" x14ac:dyDescent="0.3">
      <c r="J408">
        <v>532</v>
      </c>
      <c r="K408">
        <v>5</v>
      </c>
      <c r="U408" t="s">
        <v>481</v>
      </c>
      <c r="V408" t="s">
        <v>73</v>
      </c>
      <c r="W408" s="1">
        <v>60</v>
      </c>
    </row>
    <row r="409" spans="10:23" x14ac:dyDescent="0.3">
      <c r="J409">
        <v>523</v>
      </c>
      <c r="K409">
        <v>5</v>
      </c>
      <c r="U409" t="s">
        <v>482</v>
      </c>
      <c r="V409" t="s">
        <v>483</v>
      </c>
      <c r="W409" s="1">
        <v>60</v>
      </c>
    </row>
    <row r="410" spans="10:23" x14ac:dyDescent="0.3">
      <c r="J410">
        <v>514</v>
      </c>
      <c r="K410">
        <v>5</v>
      </c>
      <c r="U410" t="s">
        <v>484</v>
      </c>
      <c r="V410" t="s">
        <v>127</v>
      </c>
      <c r="W410" s="1">
        <v>60</v>
      </c>
    </row>
    <row r="411" spans="10:23" x14ac:dyDescent="0.3">
      <c r="J411">
        <v>497</v>
      </c>
      <c r="K411">
        <v>5</v>
      </c>
      <c r="U411" t="s">
        <v>485</v>
      </c>
      <c r="V411" t="s">
        <v>158</v>
      </c>
      <c r="W411" s="1">
        <v>60</v>
      </c>
    </row>
    <row r="412" spans="10:23" x14ac:dyDescent="0.3">
      <c r="J412">
        <v>494</v>
      </c>
      <c r="K412">
        <v>5</v>
      </c>
      <c r="U412" t="s">
        <v>486</v>
      </c>
      <c r="V412" t="s">
        <v>487</v>
      </c>
      <c r="W412" s="1">
        <v>60</v>
      </c>
    </row>
    <row r="413" spans="10:23" x14ac:dyDescent="0.3">
      <c r="J413">
        <v>493</v>
      </c>
      <c r="K413">
        <v>5</v>
      </c>
      <c r="U413" t="s">
        <v>488</v>
      </c>
      <c r="V413" t="s">
        <v>203</v>
      </c>
      <c r="W413" s="1">
        <v>60</v>
      </c>
    </row>
    <row r="414" spans="10:23" x14ac:dyDescent="0.3">
      <c r="J414">
        <v>482</v>
      </c>
      <c r="K414">
        <v>5</v>
      </c>
      <c r="U414" t="s">
        <v>489</v>
      </c>
      <c r="V414" t="s">
        <v>203</v>
      </c>
      <c r="W414" s="1">
        <v>60</v>
      </c>
    </row>
    <row r="415" spans="10:23" x14ac:dyDescent="0.3">
      <c r="J415">
        <v>479</v>
      </c>
      <c r="K415">
        <v>5</v>
      </c>
      <c r="U415" t="s">
        <v>490</v>
      </c>
      <c r="V415" t="s">
        <v>310</v>
      </c>
      <c r="W415" s="1">
        <v>60</v>
      </c>
    </row>
    <row r="416" spans="10:23" x14ac:dyDescent="0.3">
      <c r="J416">
        <v>476</v>
      </c>
      <c r="K416">
        <v>5</v>
      </c>
      <c r="U416" t="s">
        <v>491</v>
      </c>
      <c r="V416" t="s">
        <v>483</v>
      </c>
      <c r="W416" s="1">
        <v>60</v>
      </c>
    </row>
    <row r="417" spans="10:23" x14ac:dyDescent="0.3">
      <c r="J417">
        <v>471</v>
      </c>
      <c r="K417">
        <v>5</v>
      </c>
      <c r="U417" t="s">
        <v>492</v>
      </c>
      <c r="V417" t="s">
        <v>203</v>
      </c>
      <c r="W417" s="1">
        <v>60</v>
      </c>
    </row>
    <row r="418" spans="10:23" x14ac:dyDescent="0.3">
      <c r="J418">
        <v>451</v>
      </c>
      <c r="K418">
        <v>5</v>
      </c>
      <c r="U418" t="s">
        <v>493</v>
      </c>
      <c r="V418" t="s">
        <v>39</v>
      </c>
      <c r="W418" s="1">
        <v>60</v>
      </c>
    </row>
    <row r="419" spans="10:23" x14ac:dyDescent="0.3">
      <c r="J419">
        <v>441</v>
      </c>
      <c r="K419">
        <v>5</v>
      </c>
      <c r="U419" t="s">
        <v>494</v>
      </c>
      <c r="V419" t="s">
        <v>114</v>
      </c>
      <c r="W419" s="1">
        <v>60</v>
      </c>
    </row>
    <row r="420" spans="10:23" x14ac:dyDescent="0.3">
      <c r="J420">
        <v>440</v>
      </c>
      <c r="K420">
        <v>5</v>
      </c>
      <c r="U420" t="s">
        <v>495</v>
      </c>
      <c r="V420" t="s">
        <v>23</v>
      </c>
      <c r="W420" s="1">
        <v>60</v>
      </c>
    </row>
    <row r="421" spans="10:23" x14ac:dyDescent="0.3">
      <c r="J421">
        <v>430</v>
      </c>
      <c r="K421">
        <v>5</v>
      </c>
      <c r="U421" t="s">
        <v>496</v>
      </c>
      <c r="V421" t="s">
        <v>497</v>
      </c>
      <c r="W421" s="1">
        <v>60</v>
      </c>
    </row>
    <row r="422" spans="10:23" x14ac:dyDescent="0.3">
      <c r="J422">
        <v>429</v>
      </c>
      <c r="K422">
        <v>5</v>
      </c>
      <c r="U422" t="s">
        <v>498</v>
      </c>
      <c r="V422" t="s">
        <v>310</v>
      </c>
      <c r="W422" s="1">
        <v>60</v>
      </c>
    </row>
    <row r="423" spans="10:23" x14ac:dyDescent="0.3">
      <c r="J423">
        <v>426</v>
      </c>
      <c r="K423">
        <v>5</v>
      </c>
      <c r="U423" t="s">
        <v>499</v>
      </c>
      <c r="V423" t="s">
        <v>23</v>
      </c>
      <c r="W423" s="1">
        <v>60</v>
      </c>
    </row>
    <row r="424" spans="10:23" x14ac:dyDescent="0.3">
      <c r="J424">
        <v>425</v>
      </c>
      <c r="K424">
        <v>5</v>
      </c>
      <c r="U424" t="s">
        <v>500</v>
      </c>
      <c r="V424" t="s">
        <v>501</v>
      </c>
      <c r="W424" s="1">
        <v>60</v>
      </c>
    </row>
    <row r="425" spans="10:23" x14ac:dyDescent="0.3">
      <c r="J425">
        <v>418</v>
      </c>
      <c r="K425">
        <v>5</v>
      </c>
      <c r="U425" t="s">
        <v>502</v>
      </c>
      <c r="V425" t="s">
        <v>501</v>
      </c>
      <c r="W425" s="1">
        <v>60</v>
      </c>
    </row>
    <row r="426" spans="10:23" x14ac:dyDescent="0.3">
      <c r="J426">
        <v>413</v>
      </c>
      <c r="K426">
        <v>5</v>
      </c>
      <c r="U426" t="s">
        <v>503</v>
      </c>
      <c r="V426" t="s">
        <v>182</v>
      </c>
      <c r="W426" s="1">
        <v>60</v>
      </c>
    </row>
    <row r="427" spans="10:23" x14ac:dyDescent="0.3">
      <c r="J427">
        <v>412</v>
      </c>
      <c r="K427">
        <v>5</v>
      </c>
      <c r="U427" t="s">
        <v>504</v>
      </c>
      <c r="V427" t="s">
        <v>39</v>
      </c>
      <c r="W427" s="1">
        <v>60</v>
      </c>
    </row>
    <row r="428" spans="10:23" x14ac:dyDescent="0.3">
      <c r="J428">
        <v>406</v>
      </c>
      <c r="K428">
        <v>5</v>
      </c>
      <c r="U428" t="s">
        <v>505</v>
      </c>
      <c r="V428" t="s">
        <v>45</v>
      </c>
      <c r="W428" s="1">
        <v>60</v>
      </c>
    </row>
    <row r="429" spans="10:23" x14ac:dyDescent="0.3">
      <c r="J429">
        <v>405</v>
      </c>
      <c r="K429">
        <v>5</v>
      </c>
      <c r="U429" t="s">
        <v>506</v>
      </c>
      <c r="V429" t="s">
        <v>65</v>
      </c>
      <c r="W429" s="1">
        <v>60</v>
      </c>
    </row>
    <row r="430" spans="10:23" x14ac:dyDescent="0.3">
      <c r="J430">
        <v>398</v>
      </c>
      <c r="K430">
        <v>5</v>
      </c>
      <c r="U430" t="s">
        <v>507</v>
      </c>
      <c r="V430" t="s">
        <v>508</v>
      </c>
      <c r="W430" s="1">
        <v>60</v>
      </c>
    </row>
    <row r="431" spans="10:23" x14ac:dyDescent="0.3">
      <c r="J431">
        <v>389</v>
      </c>
      <c r="K431">
        <v>5</v>
      </c>
      <c r="U431" t="s">
        <v>509</v>
      </c>
      <c r="V431" t="s">
        <v>158</v>
      </c>
      <c r="W431" s="1">
        <v>60</v>
      </c>
    </row>
    <row r="432" spans="10:23" x14ac:dyDescent="0.3">
      <c r="J432">
        <v>371</v>
      </c>
      <c r="K432">
        <v>5</v>
      </c>
      <c r="U432" t="s">
        <v>510</v>
      </c>
      <c r="V432" t="s">
        <v>257</v>
      </c>
      <c r="W432" s="1">
        <v>60</v>
      </c>
    </row>
    <row r="433" spans="10:23" x14ac:dyDescent="0.3">
      <c r="J433">
        <v>365</v>
      </c>
      <c r="K433">
        <v>5</v>
      </c>
      <c r="U433" t="s">
        <v>511</v>
      </c>
      <c r="V433" t="s">
        <v>354</v>
      </c>
      <c r="W433" s="1">
        <v>60</v>
      </c>
    </row>
    <row r="434" spans="10:23" x14ac:dyDescent="0.3">
      <c r="J434">
        <v>337</v>
      </c>
      <c r="K434">
        <v>5</v>
      </c>
      <c r="U434" t="s">
        <v>512</v>
      </c>
      <c r="V434" t="s">
        <v>75</v>
      </c>
      <c r="W434" s="1">
        <v>60</v>
      </c>
    </row>
    <row r="435" spans="10:23" x14ac:dyDescent="0.3">
      <c r="J435">
        <v>831</v>
      </c>
      <c r="K435">
        <v>4</v>
      </c>
      <c r="U435" t="s">
        <v>513</v>
      </c>
      <c r="V435" t="s">
        <v>73</v>
      </c>
      <c r="W435" s="1">
        <v>60</v>
      </c>
    </row>
    <row r="436" spans="10:23" x14ac:dyDescent="0.3">
      <c r="J436">
        <v>830</v>
      </c>
      <c r="K436">
        <v>4</v>
      </c>
      <c r="U436" t="s">
        <v>514</v>
      </c>
      <c r="V436" t="s">
        <v>515</v>
      </c>
      <c r="W436" s="1">
        <v>60</v>
      </c>
    </row>
    <row r="437" spans="10:23" x14ac:dyDescent="0.3">
      <c r="J437">
        <v>801</v>
      </c>
      <c r="K437">
        <v>4</v>
      </c>
      <c r="U437" t="s">
        <v>516</v>
      </c>
      <c r="V437" t="s">
        <v>42</v>
      </c>
      <c r="W437" s="1">
        <v>600</v>
      </c>
    </row>
    <row r="438" spans="10:23" x14ac:dyDescent="0.3">
      <c r="J438">
        <v>800</v>
      </c>
      <c r="K438">
        <v>4</v>
      </c>
      <c r="U438" t="s">
        <v>517</v>
      </c>
      <c r="V438" t="s">
        <v>375</v>
      </c>
      <c r="W438" s="1">
        <v>61</v>
      </c>
    </row>
    <row r="439" spans="10:23" x14ac:dyDescent="0.3">
      <c r="J439">
        <v>760</v>
      </c>
      <c r="K439">
        <v>4</v>
      </c>
      <c r="U439" t="s">
        <v>518</v>
      </c>
      <c r="V439" t="s">
        <v>127</v>
      </c>
      <c r="W439" s="1">
        <v>61</v>
      </c>
    </row>
    <row r="440" spans="10:23" x14ac:dyDescent="0.3">
      <c r="J440">
        <v>748</v>
      </c>
      <c r="K440">
        <v>4</v>
      </c>
      <c r="U440" t="s">
        <v>519</v>
      </c>
      <c r="V440" t="s">
        <v>501</v>
      </c>
      <c r="W440" s="1">
        <v>61</v>
      </c>
    </row>
    <row r="441" spans="10:23" x14ac:dyDescent="0.3">
      <c r="J441">
        <v>711</v>
      </c>
      <c r="K441">
        <v>4</v>
      </c>
      <c r="U441" t="s">
        <v>520</v>
      </c>
      <c r="V441" t="s">
        <v>244</v>
      </c>
      <c r="W441" s="1">
        <v>61</v>
      </c>
    </row>
    <row r="442" spans="10:23" x14ac:dyDescent="0.3">
      <c r="J442">
        <v>686</v>
      </c>
      <c r="K442">
        <v>4</v>
      </c>
      <c r="U442" t="s">
        <v>521</v>
      </c>
      <c r="V442" t="s">
        <v>483</v>
      </c>
      <c r="W442" s="1">
        <v>61</v>
      </c>
    </row>
    <row r="443" spans="10:23" x14ac:dyDescent="0.3">
      <c r="J443">
        <v>680</v>
      </c>
      <c r="K443">
        <v>4</v>
      </c>
      <c r="U443" t="s">
        <v>522</v>
      </c>
      <c r="V443" t="s">
        <v>13</v>
      </c>
      <c r="W443" s="1">
        <v>61</v>
      </c>
    </row>
    <row r="444" spans="10:23" x14ac:dyDescent="0.3">
      <c r="J444">
        <v>657</v>
      </c>
      <c r="K444">
        <v>4</v>
      </c>
      <c r="U444" t="s">
        <v>523</v>
      </c>
      <c r="V444" t="s">
        <v>77</v>
      </c>
      <c r="W444" s="1">
        <v>61</v>
      </c>
    </row>
    <row r="445" spans="10:23" x14ac:dyDescent="0.3">
      <c r="J445">
        <v>645</v>
      </c>
      <c r="K445">
        <v>4</v>
      </c>
      <c r="U445" t="s">
        <v>524</v>
      </c>
      <c r="V445" t="s">
        <v>146</v>
      </c>
      <c r="W445" s="1">
        <v>61</v>
      </c>
    </row>
    <row r="446" spans="10:23" x14ac:dyDescent="0.3">
      <c r="J446">
        <v>640</v>
      </c>
      <c r="K446">
        <v>4</v>
      </c>
      <c r="U446" t="s">
        <v>525</v>
      </c>
      <c r="V446" t="s">
        <v>394</v>
      </c>
      <c r="W446" s="1">
        <v>61</v>
      </c>
    </row>
    <row r="447" spans="10:23" x14ac:dyDescent="0.3">
      <c r="J447">
        <v>631</v>
      </c>
      <c r="K447">
        <v>4</v>
      </c>
      <c r="U447" t="s">
        <v>526</v>
      </c>
      <c r="V447" t="s">
        <v>73</v>
      </c>
      <c r="W447" s="1">
        <v>61</v>
      </c>
    </row>
    <row r="448" spans="10:23" x14ac:dyDescent="0.3">
      <c r="J448">
        <v>588</v>
      </c>
      <c r="K448">
        <v>4</v>
      </c>
      <c r="U448" t="s">
        <v>527</v>
      </c>
      <c r="V448" t="s">
        <v>203</v>
      </c>
      <c r="W448" s="1">
        <v>61</v>
      </c>
    </row>
    <row r="449" spans="10:23" x14ac:dyDescent="0.3">
      <c r="J449">
        <v>569</v>
      </c>
      <c r="K449">
        <v>4</v>
      </c>
      <c r="U449" t="s">
        <v>528</v>
      </c>
      <c r="V449" t="s">
        <v>501</v>
      </c>
      <c r="W449" s="1">
        <v>61</v>
      </c>
    </row>
    <row r="450" spans="10:23" x14ac:dyDescent="0.3">
      <c r="J450">
        <v>552</v>
      </c>
      <c r="K450">
        <v>4</v>
      </c>
      <c r="U450" t="s">
        <v>529</v>
      </c>
      <c r="V450" t="s">
        <v>80</v>
      </c>
      <c r="W450" s="1">
        <v>610</v>
      </c>
    </row>
    <row r="451" spans="10:23" x14ac:dyDescent="0.3">
      <c r="J451">
        <v>54</v>
      </c>
      <c r="K451">
        <v>4</v>
      </c>
      <c r="U451" t="s">
        <v>530</v>
      </c>
      <c r="V451" t="s">
        <v>69</v>
      </c>
      <c r="W451" s="1">
        <v>610</v>
      </c>
    </row>
    <row r="452" spans="10:23" x14ac:dyDescent="0.3">
      <c r="J452">
        <v>535</v>
      </c>
      <c r="K452">
        <v>4</v>
      </c>
      <c r="U452" t="s">
        <v>531</v>
      </c>
      <c r="V452" t="s">
        <v>73</v>
      </c>
      <c r="W452" s="1">
        <v>62</v>
      </c>
    </row>
    <row r="453" spans="10:23" x14ac:dyDescent="0.3">
      <c r="J453">
        <v>515</v>
      </c>
      <c r="K453">
        <v>4</v>
      </c>
      <c r="U453" t="s">
        <v>532</v>
      </c>
      <c r="V453" t="s">
        <v>146</v>
      </c>
      <c r="W453" s="1">
        <v>62</v>
      </c>
    </row>
    <row r="454" spans="10:23" x14ac:dyDescent="0.3">
      <c r="J454">
        <v>506</v>
      </c>
      <c r="K454">
        <v>4</v>
      </c>
      <c r="U454" t="s">
        <v>533</v>
      </c>
      <c r="V454" t="s">
        <v>168</v>
      </c>
      <c r="W454" s="1">
        <v>62</v>
      </c>
    </row>
    <row r="455" spans="10:23" x14ac:dyDescent="0.3">
      <c r="J455">
        <v>505</v>
      </c>
      <c r="K455">
        <v>4</v>
      </c>
      <c r="U455" t="s">
        <v>534</v>
      </c>
      <c r="V455" t="s">
        <v>310</v>
      </c>
      <c r="W455" s="1">
        <v>62</v>
      </c>
    </row>
    <row r="456" spans="10:23" x14ac:dyDescent="0.3">
      <c r="J456">
        <v>502</v>
      </c>
      <c r="K456">
        <v>4</v>
      </c>
      <c r="U456" t="s">
        <v>535</v>
      </c>
      <c r="V456" t="s">
        <v>177</v>
      </c>
      <c r="W456" s="1">
        <v>62</v>
      </c>
    </row>
    <row r="457" spans="10:23" x14ac:dyDescent="0.3">
      <c r="J457">
        <v>501</v>
      </c>
      <c r="K457">
        <v>4</v>
      </c>
      <c r="U457" t="s">
        <v>536</v>
      </c>
      <c r="V457" t="s">
        <v>63</v>
      </c>
      <c r="W457" s="1">
        <v>62</v>
      </c>
    </row>
    <row r="458" spans="10:23" x14ac:dyDescent="0.3">
      <c r="J458">
        <v>485</v>
      </c>
      <c r="K458">
        <v>4</v>
      </c>
      <c r="U458" t="s">
        <v>537</v>
      </c>
      <c r="V458" t="s">
        <v>39</v>
      </c>
      <c r="W458" s="1">
        <v>62</v>
      </c>
    </row>
    <row r="459" spans="10:23" x14ac:dyDescent="0.3">
      <c r="J459">
        <v>483</v>
      </c>
      <c r="K459">
        <v>4</v>
      </c>
      <c r="U459" t="s">
        <v>538</v>
      </c>
      <c r="V459" t="s">
        <v>42</v>
      </c>
      <c r="W459" s="1">
        <v>62</v>
      </c>
    </row>
    <row r="460" spans="10:23" x14ac:dyDescent="0.3">
      <c r="J460">
        <v>475</v>
      </c>
      <c r="K460">
        <v>4</v>
      </c>
      <c r="U460" t="s">
        <v>539</v>
      </c>
      <c r="V460" t="s">
        <v>127</v>
      </c>
      <c r="W460" s="1">
        <v>62</v>
      </c>
    </row>
    <row r="461" spans="10:23" x14ac:dyDescent="0.3">
      <c r="J461">
        <v>461</v>
      </c>
      <c r="K461">
        <v>4</v>
      </c>
      <c r="U461" t="s">
        <v>540</v>
      </c>
      <c r="V461" t="s">
        <v>37</v>
      </c>
      <c r="W461" s="1">
        <v>62</v>
      </c>
    </row>
    <row r="462" spans="10:23" x14ac:dyDescent="0.3">
      <c r="J462">
        <v>460</v>
      </c>
      <c r="K462">
        <v>4</v>
      </c>
      <c r="U462" t="s">
        <v>541</v>
      </c>
      <c r="V462" t="s">
        <v>127</v>
      </c>
      <c r="W462" s="1">
        <v>62</v>
      </c>
    </row>
    <row r="463" spans="10:23" x14ac:dyDescent="0.3">
      <c r="J463">
        <v>438</v>
      </c>
      <c r="K463">
        <v>4</v>
      </c>
      <c r="U463" t="s">
        <v>542</v>
      </c>
      <c r="V463" t="s">
        <v>228</v>
      </c>
      <c r="W463" s="1">
        <v>62</v>
      </c>
    </row>
    <row r="464" spans="10:23" x14ac:dyDescent="0.3">
      <c r="J464">
        <v>436</v>
      </c>
      <c r="K464">
        <v>4</v>
      </c>
      <c r="U464" t="s">
        <v>543</v>
      </c>
      <c r="V464" t="s">
        <v>75</v>
      </c>
      <c r="W464" s="1">
        <v>62</v>
      </c>
    </row>
    <row r="465" spans="10:23" x14ac:dyDescent="0.3">
      <c r="J465">
        <v>435</v>
      </c>
      <c r="K465">
        <v>4</v>
      </c>
      <c r="U465" t="s">
        <v>544</v>
      </c>
      <c r="V465" t="s">
        <v>304</v>
      </c>
      <c r="W465" s="1">
        <v>62</v>
      </c>
    </row>
    <row r="466" spans="10:23" x14ac:dyDescent="0.3">
      <c r="J466">
        <v>434</v>
      </c>
      <c r="K466">
        <v>4</v>
      </c>
      <c r="U466" t="s">
        <v>545</v>
      </c>
      <c r="V466" t="s">
        <v>324</v>
      </c>
      <c r="W466" s="1">
        <v>62</v>
      </c>
    </row>
    <row r="467" spans="10:23" x14ac:dyDescent="0.3">
      <c r="J467">
        <v>424</v>
      </c>
      <c r="K467">
        <v>4</v>
      </c>
      <c r="U467" t="s">
        <v>546</v>
      </c>
      <c r="V467" t="s">
        <v>73</v>
      </c>
      <c r="W467" s="1">
        <v>62</v>
      </c>
    </row>
    <row r="468" spans="10:23" x14ac:dyDescent="0.3">
      <c r="J468">
        <v>422</v>
      </c>
      <c r="K468">
        <v>4</v>
      </c>
      <c r="U468" t="s">
        <v>547</v>
      </c>
      <c r="V468" t="s">
        <v>182</v>
      </c>
      <c r="W468" s="1">
        <v>62</v>
      </c>
    </row>
    <row r="469" spans="10:23" x14ac:dyDescent="0.3">
      <c r="J469">
        <v>417</v>
      </c>
      <c r="K469">
        <v>4</v>
      </c>
      <c r="U469" t="s">
        <v>548</v>
      </c>
      <c r="V469" t="s">
        <v>23</v>
      </c>
      <c r="W469" s="1">
        <v>63</v>
      </c>
    </row>
    <row r="470" spans="10:23" x14ac:dyDescent="0.3">
      <c r="J470">
        <v>382</v>
      </c>
      <c r="K470">
        <v>4</v>
      </c>
      <c r="U470" t="s">
        <v>549</v>
      </c>
      <c r="V470" t="s">
        <v>63</v>
      </c>
      <c r="W470" s="1">
        <v>63</v>
      </c>
    </row>
    <row r="471" spans="10:23" x14ac:dyDescent="0.3">
      <c r="J471">
        <v>374</v>
      </c>
      <c r="K471">
        <v>4</v>
      </c>
      <c r="U471" t="s">
        <v>550</v>
      </c>
      <c r="V471" t="s">
        <v>362</v>
      </c>
      <c r="W471" s="1">
        <v>63</v>
      </c>
    </row>
    <row r="472" spans="10:23" x14ac:dyDescent="0.3">
      <c r="J472">
        <v>1500</v>
      </c>
      <c r="K472">
        <v>4</v>
      </c>
      <c r="U472" t="s">
        <v>551</v>
      </c>
      <c r="V472" t="s">
        <v>75</v>
      </c>
      <c r="W472" s="1">
        <v>63</v>
      </c>
    </row>
    <row r="473" spans="10:23" x14ac:dyDescent="0.3">
      <c r="J473">
        <v>919</v>
      </c>
      <c r="K473">
        <v>3</v>
      </c>
      <c r="U473" t="s">
        <v>552</v>
      </c>
      <c r="V473" t="s">
        <v>13</v>
      </c>
      <c r="W473" s="1">
        <v>63</v>
      </c>
    </row>
    <row r="474" spans="10:23" x14ac:dyDescent="0.3">
      <c r="J474">
        <v>899</v>
      </c>
      <c r="K474">
        <v>3</v>
      </c>
      <c r="U474" t="s">
        <v>553</v>
      </c>
      <c r="V474" t="s">
        <v>13</v>
      </c>
      <c r="W474" s="1">
        <v>63</v>
      </c>
    </row>
    <row r="475" spans="10:23" x14ac:dyDescent="0.3">
      <c r="J475">
        <v>880</v>
      </c>
      <c r="K475">
        <v>3</v>
      </c>
      <c r="U475" t="s">
        <v>554</v>
      </c>
      <c r="V475" t="s">
        <v>73</v>
      </c>
      <c r="W475" s="1">
        <v>63</v>
      </c>
    </row>
    <row r="476" spans="10:23" x14ac:dyDescent="0.3">
      <c r="J476">
        <v>872</v>
      </c>
      <c r="K476">
        <v>3</v>
      </c>
      <c r="U476" t="s">
        <v>555</v>
      </c>
      <c r="V476" t="s">
        <v>146</v>
      </c>
      <c r="W476" s="1">
        <v>63</v>
      </c>
    </row>
    <row r="477" spans="10:23" x14ac:dyDescent="0.3">
      <c r="J477">
        <v>856</v>
      </c>
      <c r="K477">
        <v>3</v>
      </c>
      <c r="U477" t="s">
        <v>556</v>
      </c>
      <c r="V477" t="s">
        <v>25</v>
      </c>
      <c r="W477" s="1">
        <v>63</v>
      </c>
    </row>
    <row r="478" spans="10:23" x14ac:dyDescent="0.3">
      <c r="J478">
        <v>852</v>
      </c>
      <c r="K478">
        <v>3</v>
      </c>
      <c r="U478" t="s">
        <v>557</v>
      </c>
      <c r="V478" t="s">
        <v>13</v>
      </c>
      <c r="W478" s="1">
        <v>63</v>
      </c>
    </row>
    <row r="479" spans="10:23" x14ac:dyDescent="0.3">
      <c r="J479">
        <v>844</v>
      </c>
      <c r="K479">
        <v>3</v>
      </c>
      <c r="U479" t="s">
        <v>558</v>
      </c>
      <c r="V479" t="s">
        <v>559</v>
      </c>
      <c r="W479" s="1">
        <v>63</v>
      </c>
    </row>
    <row r="480" spans="10:23" x14ac:dyDescent="0.3">
      <c r="J480">
        <v>836</v>
      </c>
      <c r="K480">
        <v>3</v>
      </c>
      <c r="U480" t="s">
        <v>560</v>
      </c>
      <c r="V480" t="s">
        <v>75</v>
      </c>
      <c r="W480" s="1">
        <v>63</v>
      </c>
    </row>
    <row r="481" spans="10:23" x14ac:dyDescent="0.3">
      <c r="J481">
        <v>834</v>
      </c>
      <c r="K481">
        <v>3</v>
      </c>
      <c r="U481" t="s">
        <v>561</v>
      </c>
      <c r="V481" t="s">
        <v>13</v>
      </c>
      <c r="W481" s="1">
        <v>63</v>
      </c>
    </row>
    <row r="482" spans="10:23" x14ac:dyDescent="0.3">
      <c r="J482">
        <v>825</v>
      </c>
      <c r="K482">
        <v>3</v>
      </c>
      <c r="U482" t="s">
        <v>562</v>
      </c>
      <c r="V482" t="s">
        <v>497</v>
      </c>
      <c r="W482" s="1">
        <v>63</v>
      </c>
    </row>
    <row r="483" spans="10:23" x14ac:dyDescent="0.3">
      <c r="J483">
        <v>799</v>
      </c>
      <c r="K483">
        <v>3</v>
      </c>
      <c r="U483" t="s">
        <v>563</v>
      </c>
      <c r="V483" t="s">
        <v>77</v>
      </c>
      <c r="W483" s="1">
        <v>63</v>
      </c>
    </row>
    <row r="484" spans="10:23" x14ac:dyDescent="0.3">
      <c r="J484">
        <v>778</v>
      </c>
      <c r="K484">
        <v>3</v>
      </c>
      <c r="U484" t="s">
        <v>564</v>
      </c>
      <c r="V484" t="s">
        <v>13</v>
      </c>
      <c r="W484" s="1">
        <v>63</v>
      </c>
    </row>
    <row r="485" spans="10:23" x14ac:dyDescent="0.3">
      <c r="J485">
        <v>776</v>
      </c>
      <c r="K485">
        <v>3</v>
      </c>
      <c r="U485" t="s">
        <v>565</v>
      </c>
      <c r="V485" t="s">
        <v>73</v>
      </c>
      <c r="W485" s="1">
        <v>63</v>
      </c>
    </row>
    <row r="486" spans="10:23" x14ac:dyDescent="0.3">
      <c r="J486">
        <v>741</v>
      </c>
      <c r="K486">
        <v>3</v>
      </c>
      <c r="U486" t="s">
        <v>566</v>
      </c>
      <c r="V486" t="s">
        <v>13</v>
      </c>
      <c r="W486" s="1">
        <v>63</v>
      </c>
    </row>
    <row r="487" spans="10:23" x14ac:dyDescent="0.3">
      <c r="J487">
        <v>723</v>
      </c>
      <c r="K487">
        <v>3</v>
      </c>
      <c r="U487" t="s">
        <v>567</v>
      </c>
      <c r="V487" t="s">
        <v>13</v>
      </c>
      <c r="W487" s="1">
        <v>63</v>
      </c>
    </row>
    <row r="488" spans="10:23" x14ac:dyDescent="0.3">
      <c r="J488">
        <v>710</v>
      </c>
      <c r="K488">
        <v>3</v>
      </c>
      <c r="U488" t="s">
        <v>568</v>
      </c>
      <c r="V488" t="s">
        <v>177</v>
      </c>
      <c r="W488" s="1">
        <v>63</v>
      </c>
    </row>
    <row r="489" spans="10:23" x14ac:dyDescent="0.3">
      <c r="J489">
        <v>707</v>
      </c>
      <c r="K489">
        <v>3</v>
      </c>
      <c r="U489" t="s">
        <v>569</v>
      </c>
      <c r="V489" t="s">
        <v>182</v>
      </c>
      <c r="W489" s="1">
        <v>63</v>
      </c>
    </row>
    <row r="490" spans="10:23" x14ac:dyDescent="0.3">
      <c r="J490">
        <v>705</v>
      </c>
      <c r="K490">
        <v>3</v>
      </c>
      <c r="U490" t="s">
        <v>570</v>
      </c>
      <c r="V490" t="s">
        <v>571</v>
      </c>
      <c r="W490" s="1">
        <v>63</v>
      </c>
    </row>
    <row r="491" spans="10:23" x14ac:dyDescent="0.3">
      <c r="J491">
        <v>700</v>
      </c>
      <c r="K491">
        <v>3</v>
      </c>
      <c r="U491" t="s">
        <v>572</v>
      </c>
      <c r="V491" t="s">
        <v>13</v>
      </c>
      <c r="W491" s="1">
        <v>63</v>
      </c>
    </row>
    <row r="492" spans="10:23" x14ac:dyDescent="0.3">
      <c r="J492">
        <v>699</v>
      </c>
      <c r="K492">
        <v>3</v>
      </c>
      <c r="U492" t="s">
        <v>573</v>
      </c>
      <c r="V492" t="s">
        <v>13</v>
      </c>
      <c r="W492" s="1">
        <v>63</v>
      </c>
    </row>
    <row r="493" spans="10:23" x14ac:dyDescent="0.3">
      <c r="J493">
        <v>695</v>
      </c>
      <c r="K493">
        <v>3</v>
      </c>
      <c r="U493" t="s">
        <v>574</v>
      </c>
      <c r="V493" t="s">
        <v>45</v>
      </c>
      <c r="W493" s="1">
        <v>636</v>
      </c>
    </row>
    <row r="494" spans="10:23" x14ac:dyDescent="0.3">
      <c r="J494">
        <v>694</v>
      </c>
      <c r="K494">
        <v>3</v>
      </c>
      <c r="U494" t="s">
        <v>575</v>
      </c>
      <c r="V494" t="s">
        <v>177</v>
      </c>
      <c r="W494" s="1">
        <v>64</v>
      </c>
    </row>
    <row r="495" spans="10:23" x14ac:dyDescent="0.3">
      <c r="J495">
        <v>692</v>
      </c>
      <c r="K495">
        <v>3</v>
      </c>
      <c r="U495" t="s">
        <v>576</v>
      </c>
      <c r="V495" t="s">
        <v>487</v>
      </c>
      <c r="W495" s="1">
        <v>64</v>
      </c>
    </row>
    <row r="496" spans="10:23" x14ac:dyDescent="0.3">
      <c r="J496">
        <v>682</v>
      </c>
      <c r="K496">
        <v>3</v>
      </c>
      <c r="U496" t="s">
        <v>577</v>
      </c>
      <c r="V496" t="s">
        <v>25</v>
      </c>
      <c r="W496" s="1">
        <v>64</v>
      </c>
    </row>
    <row r="497" spans="10:23" x14ac:dyDescent="0.3">
      <c r="J497">
        <v>675</v>
      </c>
      <c r="K497">
        <v>3</v>
      </c>
      <c r="U497" t="s">
        <v>578</v>
      </c>
      <c r="V497" t="s">
        <v>362</v>
      </c>
      <c r="W497" s="1">
        <v>64</v>
      </c>
    </row>
    <row r="498" spans="10:23" x14ac:dyDescent="0.3">
      <c r="J498">
        <v>674</v>
      </c>
      <c r="K498">
        <v>3</v>
      </c>
      <c r="U498" t="s">
        <v>579</v>
      </c>
      <c r="V498" t="s">
        <v>127</v>
      </c>
      <c r="W498" s="1">
        <v>64</v>
      </c>
    </row>
    <row r="499" spans="10:23" x14ac:dyDescent="0.3">
      <c r="J499">
        <v>672</v>
      </c>
      <c r="K499">
        <v>3</v>
      </c>
      <c r="U499" t="s">
        <v>580</v>
      </c>
      <c r="V499" t="s">
        <v>304</v>
      </c>
      <c r="W499" s="1">
        <v>64</v>
      </c>
    </row>
    <row r="500" spans="10:23" x14ac:dyDescent="0.3">
      <c r="J500">
        <v>668</v>
      </c>
      <c r="K500">
        <v>3</v>
      </c>
      <c r="U500" t="s">
        <v>581</v>
      </c>
      <c r="V500" t="s">
        <v>182</v>
      </c>
      <c r="W500" s="1">
        <v>64</v>
      </c>
    </row>
    <row r="501" spans="10:23" x14ac:dyDescent="0.3">
      <c r="J501">
        <v>667</v>
      </c>
      <c r="K501">
        <v>3</v>
      </c>
      <c r="U501" t="s">
        <v>582</v>
      </c>
      <c r="V501" t="s">
        <v>244</v>
      </c>
      <c r="W501" s="1">
        <v>64</v>
      </c>
    </row>
    <row r="502" spans="10:23" x14ac:dyDescent="0.3">
      <c r="J502">
        <v>665</v>
      </c>
      <c r="K502">
        <v>3</v>
      </c>
      <c r="U502" t="s">
        <v>583</v>
      </c>
      <c r="V502" t="s">
        <v>310</v>
      </c>
      <c r="W502" s="1">
        <v>64</v>
      </c>
    </row>
    <row r="503" spans="10:23" x14ac:dyDescent="0.3">
      <c r="J503">
        <v>651</v>
      </c>
      <c r="K503">
        <v>3</v>
      </c>
      <c r="U503" t="s">
        <v>584</v>
      </c>
      <c r="V503" t="s">
        <v>127</v>
      </c>
      <c r="W503" s="1">
        <v>64</v>
      </c>
    </row>
    <row r="504" spans="10:23" x14ac:dyDescent="0.3">
      <c r="J504">
        <v>649</v>
      </c>
      <c r="K504">
        <v>3</v>
      </c>
      <c r="U504" t="s">
        <v>585</v>
      </c>
      <c r="V504" t="s">
        <v>73</v>
      </c>
      <c r="W504" s="1">
        <v>64</v>
      </c>
    </row>
    <row r="505" spans="10:23" x14ac:dyDescent="0.3">
      <c r="J505">
        <v>648</v>
      </c>
      <c r="K505">
        <v>3</v>
      </c>
      <c r="U505" t="s">
        <v>586</v>
      </c>
      <c r="V505" t="s">
        <v>114</v>
      </c>
      <c r="W505" s="1">
        <v>64</v>
      </c>
    </row>
    <row r="506" spans="10:23" x14ac:dyDescent="0.3">
      <c r="J506">
        <v>637</v>
      </c>
      <c r="K506">
        <v>3</v>
      </c>
      <c r="U506" t="s">
        <v>587</v>
      </c>
      <c r="V506" t="s">
        <v>75</v>
      </c>
      <c r="W506" s="1">
        <v>64</v>
      </c>
    </row>
    <row r="507" spans="10:23" x14ac:dyDescent="0.3">
      <c r="J507">
        <v>636</v>
      </c>
      <c r="K507">
        <v>3</v>
      </c>
      <c r="U507" t="s">
        <v>588</v>
      </c>
      <c r="V507" t="s">
        <v>63</v>
      </c>
      <c r="W507" s="1">
        <v>64</v>
      </c>
    </row>
    <row r="508" spans="10:23" x14ac:dyDescent="0.3">
      <c r="J508">
        <v>634</v>
      </c>
      <c r="K508">
        <v>3</v>
      </c>
      <c r="U508" t="s">
        <v>589</v>
      </c>
      <c r="V508" t="s">
        <v>310</v>
      </c>
      <c r="W508" s="1">
        <v>64</v>
      </c>
    </row>
    <row r="509" spans="10:23" x14ac:dyDescent="0.3">
      <c r="J509">
        <v>633</v>
      </c>
      <c r="K509">
        <v>3</v>
      </c>
      <c r="U509" t="s">
        <v>590</v>
      </c>
      <c r="V509" t="s">
        <v>127</v>
      </c>
      <c r="W509" s="1">
        <v>64</v>
      </c>
    </row>
    <row r="510" spans="10:23" x14ac:dyDescent="0.3">
      <c r="J510">
        <v>628</v>
      </c>
      <c r="K510">
        <v>3</v>
      </c>
      <c r="U510" t="s">
        <v>591</v>
      </c>
      <c r="V510" t="s">
        <v>592</v>
      </c>
      <c r="W510" s="1">
        <v>64</v>
      </c>
    </row>
    <row r="511" spans="10:23" x14ac:dyDescent="0.3">
      <c r="J511">
        <v>625</v>
      </c>
      <c r="K511">
        <v>3</v>
      </c>
      <c r="U511" t="s">
        <v>593</v>
      </c>
      <c r="V511" t="s">
        <v>63</v>
      </c>
      <c r="W511" s="1">
        <v>64</v>
      </c>
    </row>
    <row r="512" spans="10:23" x14ac:dyDescent="0.3">
      <c r="J512">
        <v>616</v>
      </c>
      <c r="K512">
        <v>3</v>
      </c>
      <c r="U512" t="s">
        <v>594</v>
      </c>
      <c r="V512" t="s">
        <v>77</v>
      </c>
      <c r="W512" s="1">
        <v>64</v>
      </c>
    </row>
    <row r="513" spans="10:23" x14ac:dyDescent="0.3">
      <c r="J513">
        <v>609</v>
      </c>
      <c r="K513">
        <v>3</v>
      </c>
      <c r="U513" t="s">
        <v>595</v>
      </c>
      <c r="V513" t="s">
        <v>203</v>
      </c>
      <c r="W513" s="1">
        <v>64</v>
      </c>
    </row>
    <row r="514" spans="10:23" x14ac:dyDescent="0.3">
      <c r="J514">
        <v>603</v>
      </c>
      <c r="K514">
        <v>3</v>
      </c>
      <c r="U514" t="s">
        <v>596</v>
      </c>
      <c r="V514" t="s">
        <v>257</v>
      </c>
      <c r="W514" s="1">
        <v>64</v>
      </c>
    </row>
    <row r="515" spans="10:23" x14ac:dyDescent="0.3">
      <c r="J515">
        <v>601</v>
      </c>
      <c r="K515">
        <v>3</v>
      </c>
      <c r="U515" t="s">
        <v>597</v>
      </c>
      <c r="V515" t="s">
        <v>487</v>
      </c>
      <c r="W515" s="1">
        <v>65</v>
      </c>
    </row>
    <row r="516" spans="10:23" x14ac:dyDescent="0.3">
      <c r="J516">
        <v>60</v>
      </c>
      <c r="K516">
        <v>3</v>
      </c>
      <c r="U516" t="s">
        <v>598</v>
      </c>
      <c r="V516" t="s">
        <v>73</v>
      </c>
      <c r="W516" s="1">
        <v>65</v>
      </c>
    </row>
    <row r="517" spans="10:23" x14ac:dyDescent="0.3">
      <c r="J517">
        <v>599</v>
      </c>
      <c r="K517">
        <v>3</v>
      </c>
      <c r="U517" t="s">
        <v>599</v>
      </c>
      <c r="V517" t="s">
        <v>39</v>
      </c>
      <c r="W517" s="1">
        <v>65</v>
      </c>
    </row>
    <row r="518" spans="10:23" x14ac:dyDescent="0.3">
      <c r="J518">
        <v>594</v>
      </c>
      <c r="K518">
        <v>3</v>
      </c>
      <c r="U518" t="s">
        <v>600</v>
      </c>
      <c r="V518" t="s">
        <v>203</v>
      </c>
      <c r="W518" s="1">
        <v>65</v>
      </c>
    </row>
    <row r="519" spans="10:23" x14ac:dyDescent="0.3">
      <c r="J519">
        <v>591</v>
      </c>
      <c r="K519">
        <v>3</v>
      </c>
      <c r="U519" t="s">
        <v>601</v>
      </c>
      <c r="V519" t="s">
        <v>310</v>
      </c>
      <c r="W519" s="1">
        <v>65</v>
      </c>
    </row>
    <row r="520" spans="10:23" x14ac:dyDescent="0.3">
      <c r="J520">
        <v>584</v>
      </c>
      <c r="K520">
        <v>3</v>
      </c>
      <c r="U520" t="s">
        <v>602</v>
      </c>
      <c r="V520" t="s">
        <v>354</v>
      </c>
      <c r="W520" s="1">
        <v>65</v>
      </c>
    </row>
    <row r="521" spans="10:23" x14ac:dyDescent="0.3">
      <c r="J521">
        <v>579</v>
      </c>
      <c r="K521">
        <v>3</v>
      </c>
      <c r="U521" t="s">
        <v>603</v>
      </c>
      <c r="V521" t="s">
        <v>415</v>
      </c>
      <c r="W521" s="1">
        <v>65</v>
      </c>
    </row>
    <row r="522" spans="10:23" x14ac:dyDescent="0.3">
      <c r="J522">
        <v>578</v>
      </c>
      <c r="K522">
        <v>3</v>
      </c>
      <c r="U522" t="s">
        <v>604</v>
      </c>
      <c r="V522" t="s">
        <v>127</v>
      </c>
      <c r="W522" s="1">
        <v>65</v>
      </c>
    </row>
    <row r="523" spans="10:23" x14ac:dyDescent="0.3">
      <c r="J523">
        <v>570</v>
      </c>
      <c r="K523">
        <v>3</v>
      </c>
      <c r="U523" t="s">
        <v>605</v>
      </c>
      <c r="V523" t="s">
        <v>23</v>
      </c>
      <c r="W523" s="1">
        <v>65</v>
      </c>
    </row>
    <row r="524" spans="10:23" x14ac:dyDescent="0.3">
      <c r="J524">
        <v>566</v>
      </c>
      <c r="K524">
        <v>3</v>
      </c>
      <c r="U524" t="s">
        <v>606</v>
      </c>
      <c r="V524" t="s">
        <v>37</v>
      </c>
      <c r="W524" s="1">
        <v>65</v>
      </c>
    </row>
    <row r="525" spans="10:23" x14ac:dyDescent="0.3">
      <c r="J525">
        <v>564</v>
      </c>
      <c r="K525">
        <v>3</v>
      </c>
      <c r="U525" t="s">
        <v>607</v>
      </c>
      <c r="V525" t="s">
        <v>257</v>
      </c>
      <c r="W525" s="1">
        <v>65</v>
      </c>
    </row>
    <row r="526" spans="10:23" x14ac:dyDescent="0.3">
      <c r="J526">
        <v>554</v>
      </c>
      <c r="K526">
        <v>3</v>
      </c>
      <c r="U526" t="s">
        <v>608</v>
      </c>
      <c r="V526" t="s">
        <v>310</v>
      </c>
      <c r="W526" s="1">
        <v>65</v>
      </c>
    </row>
    <row r="527" spans="10:23" x14ac:dyDescent="0.3">
      <c r="J527">
        <v>547</v>
      </c>
      <c r="K527">
        <v>3</v>
      </c>
      <c r="U527" t="s">
        <v>609</v>
      </c>
      <c r="V527" t="s">
        <v>304</v>
      </c>
      <c r="W527" s="1">
        <v>65</v>
      </c>
    </row>
    <row r="528" spans="10:23" x14ac:dyDescent="0.3">
      <c r="J528">
        <v>546</v>
      </c>
      <c r="K528">
        <v>3</v>
      </c>
      <c r="U528" t="s">
        <v>610</v>
      </c>
      <c r="V528" t="s">
        <v>203</v>
      </c>
      <c r="W528" s="1">
        <v>65</v>
      </c>
    </row>
    <row r="529" spans="10:23" x14ac:dyDescent="0.3">
      <c r="J529">
        <v>544</v>
      </c>
      <c r="K529">
        <v>3</v>
      </c>
      <c r="U529" t="s">
        <v>611</v>
      </c>
      <c r="V529" t="s">
        <v>612</v>
      </c>
      <c r="W529" s="1">
        <v>65</v>
      </c>
    </row>
    <row r="530" spans="10:23" x14ac:dyDescent="0.3">
      <c r="J530">
        <v>543</v>
      </c>
      <c r="K530">
        <v>3</v>
      </c>
      <c r="U530" t="s">
        <v>613</v>
      </c>
      <c r="V530" t="s">
        <v>73</v>
      </c>
      <c r="W530" s="1">
        <v>65</v>
      </c>
    </row>
    <row r="531" spans="10:23" x14ac:dyDescent="0.3">
      <c r="J531">
        <v>538</v>
      </c>
      <c r="K531">
        <v>3</v>
      </c>
      <c r="U531" t="s">
        <v>614</v>
      </c>
      <c r="V531" t="s">
        <v>354</v>
      </c>
      <c r="W531" s="1">
        <v>65</v>
      </c>
    </row>
    <row r="532" spans="10:23" x14ac:dyDescent="0.3">
      <c r="J532">
        <v>536</v>
      </c>
      <c r="K532">
        <v>3</v>
      </c>
      <c r="U532" t="s">
        <v>615</v>
      </c>
      <c r="V532" t="s">
        <v>73</v>
      </c>
      <c r="W532" s="1">
        <v>65</v>
      </c>
    </row>
    <row r="533" spans="10:23" x14ac:dyDescent="0.3">
      <c r="J533">
        <v>530</v>
      </c>
      <c r="K533">
        <v>3</v>
      </c>
      <c r="U533" t="s">
        <v>616</v>
      </c>
      <c r="V533" t="s">
        <v>246</v>
      </c>
      <c r="W533" s="1">
        <v>65</v>
      </c>
    </row>
    <row r="534" spans="10:23" x14ac:dyDescent="0.3">
      <c r="J534">
        <v>529</v>
      </c>
      <c r="K534">
        <v>3</v>
      </c>
      <c r="U534" t="s">
        <v>617</v>
      </c>
      <c r="V534" t="s">
        <v>158</v>
      </c>
      <c r="W534" s="1">
        <v>65</v>
      </c>
    </row>
    <row r="535" spans="10:23" x14ac:dyDescent="0.3">
      <c r="J535">
        <v>528</v>
      </c>
      <c r="K535">
        <v>3</v>
      </c>
      <c r="U535" t="s">
        <v>618</v>
      </c>
      <c r="V535" t="s">
        <v>158</v>
      </c>
      <c r="W535" s="1">
        <v>65</v>
      </c>
    </row>
    <row r="536" spans="10:23" x14ac:dyDescent="0.3">
      <c r="J536">
        <v>526</v>
      </c>
      <c r="K536">
        <v>3</v>
      </c>
      <c r="U536" t="s">
        <v>619</v>
      </c>
      <c r="V536" t="s">
        <v>17</v>
      </c>
      <c r="W536" s="1">
        <v>65</v>
      </c>
    </row>
    <row r="537" spans="10:23" x14ac:dyDescent="0.3">
      <c r="J537">
        <v>520</v>
      </c>
      <c r="K537">
        <v>3</v>
      </c>
      <c r="U537" t="s">
        <v>620</v>
      </c>
      <c r="V537" t="s">
        <v>73</v>
      </c>
      <c r="W537" s="1">
        <v>65</v>
      </c>
    </row>
    <row r="538" spans="10:23" x14ac:dyDescent="0.3">
      <c r="J538">
        <v>518</v>
      </c>
      <c r="K538">
        <v>3</v>
      </c>
      <c r="U538" t="s">
        <v>621</v>
      </c>
      <c r="V538" t="s">
        <v>127</v>
      </c>
      <c r="W538" s="1">
        <v>66</v>
      </c>
    </row>
    <row r="539" spans="10:23" x14ac:dyDescent="0.3">
      <c r="J539">
        <v>511</v>
      </c>
      <c r="K539">
        <v>3</v>
      </c>
      <c r="U539" t="s">
        <v>622</v>
      </c>
      <c r="V539" t="s">
        <v>127</v>
      </c>
      <c r="W539" s="1">
        <v>66</v>
      </c>
    </row>
    <row r="540" spans="10:23" x14ac:dyDescent="0.3">
      <c r="J540">
        <v>510</v>
      </c>
      <c r="K540">
        <v>3</v>
      </c>
      <c r="U540" t="s">
        <v>623</v>
      </c>
      <c r="V540" t="s">
        <v>362</v>
      </c>
      <c r="W540" s="1">
        <v>66</v>
      </c>
    </row>
    <row r="541" spans="10:23" x14ac:dyDescent="0.3">
      <c r="J541">
        <v>504</v>
      </c>
      <c r="K541">
        <v>3</v>
      </c>
      <c r="U541" t="s">
        <v>624</v>
      </c>
      <c r="V541" t="s">
        <v>73</v>
      </c>
      <c r="W541" s="1">
        <v>66</v>
      </c>
    </row>
    <row r="542" spans="10:23" x14ac:dyDescent="0.3">
      <c r="J542">
        <v>490</v>
      </c>
      <c r="K542">
        <v>3</v>
      </c>
      <c r="U542" t="s">
        <v>625</v>
      </c>
      <c r="V542" t="s">
        <v>146</v>
      </c>
      <c r="W542" s="1">
        <v>66</v>
      </c>
    </row>
    <row r="543" spans="10:23" x14ac:dyDescent="0.3">
      <c r="J543">
        <v>488</v>
      </c>
      <c r="K543">
        <v>3</v>
      </c>
      <c r="U543" t="s">
        <v>626</v>
      </c>
      <c r="V543" t="s">
        <v>354</v>
      </c>
      <c r="W543" s="1">
        <v>66</v>
      </c>
    </row>
    <row r="544" spans="10:23" x14ac:dyDescent="0.3">
      <c r="J544">
        <v>484</v>
      </c>
      <c r="K544">
        <v>3</v>
      </c>
      <c r="U544" t="s">
        <v>627</v>
      </c>
      <c r="V544" t="s">
        <v>39</v>
      </c>
      <c r="W544" s="1">
        <v>66</v>
      </c>
    </row>
    <row r="545" spans="10:23" x14ac:dyDescent="0.3">
      <c r="J545">
        <v>477</v>
      </c>
      <c r="K545">
        <v>3</v>
      </c>
      <c r="U545" t="s">
        <v>628</v>
      </c>
      <c r="V545" t="s">
        <v>90</v>
      </c>
      <c r="W545" s="1">
        <v>66</v>
      </c>
    </row>
    <row r="546" spans="10:23" x14ac:dyDescent="0.3">
      <c r="J546">
        <v>474</v>
      </c>
      <c r="K546">
        <v>3</v>
      </c>
      <c r="U546" t="s">
        <v>629</v>
      </c>
      <c r="V546" t="s">
        <v>45</v>
      </c>
      <c r="W546" s="1">
        <v>66</v>
      </c>
    </row>
    <row r="547" spans="10:23" x14ac:dyDescent="0.3">
      <c r="J547">
        <v>470</v>
      </c>
      <c r="K547">
        <v>3</v>
      </c>
      <c r="U547" t="s">
        <v>630</v>
      </c>
      <c r="V547" t="s">
        <v>101</v>
      </c>
      <c r="W547" s="1">
        <v>66</v>
      </c>
    </row>
    <row r="548" spans="10:23" x14ac:dyDescent="0.3">
      <c r="J548">
        <v>467</v>
      </c>
      <c r="K548">
        <v>3</v>
      </c>
      <c r="U548" t="s">
        <v>631</v>
      </c>
      <c r="V548" t="s">
        <v>164</v>
      </c>
      <c r="W548" s="1">
        <v>66</v>
      </c>
    </row>
    <row r="549" spans="10:23" x14ac:dyDescent="0.3">
      <c r="J549">
        <v>465</v>
      </c>
      <c r="K549">
        <v>3</v>
      </c>
      <c r="U549" t="s">
        <v>632</v>
      </c>
      <c r="V549" t="s">
        <v>45</v>
      </c>
      <c r="W549" s="1">
        <v>66</v>
      </c>
    </row>
    <row r="550" spans="10:23" x14ac:dyDescent="0.3">
      <c r="J550">
        <v>462</v>
      </c>
      <c r="K550">
        <v>3</v>
      </c>
      <c r="U550" t="s">
        <v>633</v>
      </c>
      <c r="V550" t="s">
        <v>39</v>
      </c>
      <c r="W550" s="1">
        <v>67</v>
      </c>
    </row>
    <row r="551" spans="10:23" x14ac:dyDescent="0.3">
      <c r="J551">
        <v>459</v>
      </c>
      <c r="K551">
        <v>3</v>
      </c>
      <c r="U551" t="s">
        <v>634</v>
      </c>
      <c r="V551" t="s">
        <v>45</v>
      </c>
      <c r="W551" s="1">
        <v>67</v>
      </c>
    </row>
    <row r="552" spans="10:23" x14ac:dyDescent="0.3">
      <c r="J552">
        <v>458</v>
      </c>
      <c r="K552">
        <v>3</v>
      </c>
      <c r="U552" t="s">
        <v>635</v>
      </c>
      <c r="V552" t="s">
        <v>77</v>
      </c>
      <c r="W552" s="1">
        <v>67</v>
      </c>
    </row>
    <row r="553" spans="10:23" x14ac:dyDescent="0.3">
      <c r="J553">
        <v>445</v>
      </c>
      <c r="K553">
        <v>3</v>
      </c>
      <c r="U553" t="s">
        <v>636</v>
      </c>
      <c r="V553" t="s">
        <v>77</v>
      </c>
      <c r="W553" s="1">
        <v>67</v>
      </c>
    </row>
    <row r="554" spans="10:23" x14ac:dyDescent="0.3">
      <c r="J554">
        <v>432</v>
      </c>
      <c r="K554">
        <v>3</v>
      </c>
      <c r="U554" t="s">
        <v>637</v>
      </c>
      <c r="V554" t="s">
        <v>45</v>
      </c>
      <c r="W554" s="1">
        <v>67</v>
      </c>
    </row>
    <row r="555" spans="10:23" x14ac:dyDescent="0.3">
      <c r="J555">
        <v>423</v>
      </c>
      <c r="K555">
        <v>3</v>
      </c>
      <c r="U555" t="s">
        <v>638</v>
      </c>
      <c r="V555" t="s">
        <v>11</v>
      </c>
      <c r="W555" s="1">
        <v>67</v>
      </c>
    </row>
    <row r="556" spans="10:23" x14ac:dyDescent="0.3">
      <c r="J556">
        <v>421</v>
      </c>
      <c r="K556">
        <v>3</v>
      </c>
      <c r="U556" t="s">
        <v>639</v>
      </c>
      <c r="V556" t="s">
        <v>487</v>
      </c>
      <c r="W556" s="1">
        <v>67</v>
      </c>
    </row>
    <row r="557" spans="10:23" x14ac:dyDescent="0.3">
      <c r="J557">
        <v>420</v>
      </c>
      <c r="K557">
        <v>3</v>
      </c>
      <c r="U557" t="s">
        <v>640</v>
      </c>
      <c r="V557" t="s">
        <v>39</v>
      </c>
      <c r="W557" s="1">
        <v>67</v>
      </c>
    </row>
    <row r="558" spans="10:23" x14ac:dyDescent="0.3">
      <c r="J558">
        <v>403</v>
      </c>
      <c r="K558">
        <v>3</v>
      </c>
      <c r="U558" t="s">
        <v>641</v>
      </c>
      <c r="V558" t="s">
        <v>310</v>
      </c>
      <c r="W558" s="1">
        <v>67</v>
      </c>
    </row>
    <row r="559" spans="10:23" x14ac:dyDescent="0.3">
      <c r="J559">
        <v>395</v>
      </c>
      <c r="K559">
        <v>3</v>
      </c>
      <c r="U559" t="s">
        <v>642</v>
      </c>
      <c r="V559" t="s">
        <v>127</v>
      </c>
      <c r="W559" s="1">
        <v>67</v>
      </c>
    </row>
    <row r="560" spans="10:23" x14ac:dyDescent="0.3">
      <c r="J560">
        <v>377</v>
      </c>
      <c r="K560">
        <v>3</v>
      </c>
      <c r="U560" t="s">
        <v>643</v>
      </c>
      <c r="V560" t="s">
        <v>612</v>
      </c>
      <c r="W560" s="1">
        <v>67</v>
      </c>
    </row>
    <row r="561" spans="10:23" x14ac:dyDescent="0.3">
      <c r="J561">
        <v>998</v>
      </c>
      <c r="K561">
        <v>2</v>
      </c>
      <c r="U561" t="s">
        <v>644</v>
      </c>
      <c r="V561" t="s">
        <v>75</v>
      </c>
      <c r="W561" s="1">
        <v>68</v>
      </c>
    </row>
    <row r="562" spans="10:23" x14ac:dyDescent="0.3">
      <c r="J562">
        <v>992</v>
      </c>
      <c r="K562">
        <v>2</v>
      </c>
      <c r="U562" t="s">
        <v>645</v>
      </c>
      <c r="V562" t="s">
        <v>501</v>
      </c>
      <c r="W562" s="1">
        <v>68</v>
      </c>
    </row>
    <row r="563" spans="10:23" x14ac:dyDescent="0.3">
      <c r="J563">
        <v>990</v>
      </c>
      <c r="K563">
        <v>2</v>
      </c>
      <c r="U563" t="s">
        <v>646</v>
      </c>
      <c r="V563" t="s">
        <v>11</v>
      </c>
      <c r="W563" s="1">
        <v>68</v>
      </c>
    </row>
    <row r="564" spans="10:23" x14ac:dyDescent="0.3">
      <c r="J564">
        <v>988</v>
      </c>
      <c r="K564">
        <v>2</v>
      </c>
      <c r="U564" t="s">
        <v>647</v>
      </c>
      <c r="V564" t="s">
        <v>515</v>
      </c>
      <c r="W564" s="1">
        <v>68</v>
      </c>
    </row>
    <row r="565" spans="10:23" x14ac:dyDescent="0.3">
      <c r="J565">
        <v>979</v>
      </c>
      <c r="K565">
        <v>2</v>
      </c>
      <c r="U565" t="s">
        <v>648</v>
      </c>
      <c r="V565" t="s">
        <v>114</v>
      </c>
      <c r="W565" s="1">
        <v>68</v>
      </c>
    </row>
    <row r="566" spans="10:23" x14ac:dyDescent="0.3">
      <c r="J566">
        <v>970</v>
      </c>
      <c r="K566">
        <v>2</v>
      </c>
      <c r="U566" t="s">
        <v>649</v>
      </c>
      <c r="V566" t="s">
        <v>13</v>
      </c>
      <c r="W566" s="1">
        <v>68</v>
      </c>
    </row>
    <row r="567" spans="10:23" x14ac:dyDescent="0.3">
      <c r="J567">
        <v>968</v>
      </c>
      <c r="K567">
        <v>2</v>
      </c>
      <c r="U567" t="s">
        <v>650</v>
      </c>
      <c r="V567" t="s">
        <v>45</v>
      </c>
      <c r="W567" s="1">
        <v>68</v>
      </c>
    </row>
    <row r="568" spans="10:23" x14ac:dyDescent="0.3">
      <c r="J568">
        <v>963</v>
      </c>
      <c r="K568">
        <v>2</v>
      </c>
      <c r="U568" t="s">
        <v>651</v>
      </c>
      <c r="V568" t="s">
        <v>501</v>
      </c>
      <c r="W568" s="1">
        <v>68</v>
      </c>
    </row>
    <row r="569" spans="10:23" x14ac:dyDescent="0.3">
      <c r="J569">
        <v>949</v>
      </c>
      <c r="K569">
        <v>2</v>
      </c>
      <c r="U569" t="s">
        <v>652</v>
      </c>
      <c r="V569" t="s">
        <v>653</v>
      </c>
      <c r="W569" s="1">
        <v>68</v>
      </c>
    </row>
    <row r="570" spans="10:23" x14ac:dyDescent="0.3">
      <c r="J570">
        <v>948</v>
      </c>
      <c r="K570">
        <v>2</v>
      </c>
      <c r="U570" t="s">
        <v>654</v>
      </c>
      <c r="V570" t="s">
        <v>23</v>
      </c>
      <c r="W570" s="1">
        <v>68</v>
      </c>
    </row>
    <row r="571" spans="10:23" x14ac:dyDescent="0.3">
      <c r="J571">
        <v>942</v>
      </c>
      <c r="K571">
        <v>2</v>
      </c>
      <c r="U571" t="s">
        <v>655</v>
      </c>
      <c r="V571" t="s">
        <v>77</v>
      </c>
      <c r="W571" s="1">
        <v>68</v>
      </c>
    </row>
    <row r="572" spans="10:23" x14ac:dyDescent="0.3">
      <c r="J572">
        <v>929</v>
      </c>
      <c r="K572">
        <v>2</v>
      </c>
      <c r="U572" t="s">
        <v>656</v>
      </c>
      <c r="V572" t="s">
        <v>657</v>
      </c>
      <c r="W572" s="1">
        <v>68</v>
      </c>
    </row>
    <row r="573" spans="10:23" x14ac:dyDescent="0.3">
      <c r="J573">
        <v>920</v>
      </c>
      <c r="K573">
        <v>2</v>
      </c>
      <c r="U573" t="s">
        <v>658</v>
      </c>
      <c r="V573" t="s">
        <v>114</v>
      </c>
      <c r="W573" s="1">
        <v>68</v>
      </c>
    </row>
    <row r="574" spans="10:23" x14ac:dyDescent="0.3">
      <c r="J574">
        <v>917</v>
      </c>
      <c r="K574">
        <v>2</v>
      </c>
      <c r="U574" t="s">
        <v>659</v>
      </c>
      <c r="V574" t="s">
        <v>354</v>
      </c>
      <c r="W574" s="1">
        <v>68</v>
      </c>
    </row>
    <row r="575" spans="10:23" x14ac:dyDescent="0.3">
      <c r="J575">
        <v>913</v>
      </c>
      <c r="K575">
        <v>2</v>
      </c>
      <c r="U575" t="s">
        <v>660</v>
      </c>
      <c r="V575" t="s">
        <v>45</v>
      </c>
      <c r="W575" s="1">
        <v>68</v>
      </c>
    </row>
    <row r="576" spans="10:23" x14ac:dyDescent="0.3">
      <c r="J576">
        <v>908</v>
      </c>
      <c r="K576">
        <v>2</v>
      </c>
      <c r="U576" t="s">
        <v>661</v>
      </c>
      <c r="V576" t="s">
        <v>11</v>
      </c>
      <c r="W576" s="1">
        <v>68</v>
      </c>
    </row>
    <row r="577" spans="10:23" x14ac:dyDescent="0.3">
      <c r="J577">
        <v>904</v>
      </c>
      <c r="K577">
        <v>2</v>
      </c>
      <c r="U577" t="s">
        <v>662</v>
      </c>
      <c r="V577" t="s">
        <v>39</v>
      </c>
      <c r="W577" s="1">
        <v>68</v>
      </c>
    </row>
    <row r="578" spans="10:23" x14ac:dyDescent="0.3">
      <c r="J578">
        <v>878</v>
      </c>
      <c r="K578">
        <v>2</v>
      </c>
      <c r="U578" t="s">
        <v>663</v>
      </c>
      <c r="V578" t="s">
        <v>39</v>
      </c>
      <c r="W578" s="1">
        <v>68</v>
      </c>
    </row>
    <row r="579" spans="10:23" x14ac:dyDescent="0.3">
      <c r="J579">
        <v>877</v>
      </c>
      <c r="K579">
        <v>2</v>
      </c>
      <c r="U579" t="s">
        <v>664</v>
      </c>
      <c r="V579" t="s">
        <v>11</v>
      </c>
      <c r="W579" s="1">
        <v>68</v>
      </c>
    </row>
    <row r="580" spans="10:23" x14ac:dyDescent="0.3">
      <c r="J580">
        <v>875</v>
      </c>
      <c r="K580">
        <v>2</v>
      </c>
      <c r="U580" t="s">
        <v>665</v>
      </c>
      <c r="V580" t="s">
        <v>501</v>
      </c>
      <c r="W580" s="1">
        <v>68</v>
      </c>
    </row>
    <row r="581" spans="10:23" x14ac:dyDescent="0.3">
      <c r="J581">
        <v>874</v>
      </c>
      <c r="K581">
        <v>2</v>
      </c>
      <c r="U581" t="s">
        <v>666</v>
      </c>
      <c r="V581" t="s">
        <v>182</v>
      </c>
      <c r="W581" s="1">
        <v>69</v>
      </c>
    </row>
    <row r="582" spans="10:23" x14ac:dyDescent="0.3">
      <c r="J582">
        <v>861</v>
      </c>
      <c r="K582">
        <v>2</v>
      </c>
      <c r="U582" t="s">
        <v>667</v>
      </c>
      <c r="V582" t="s">
        <v>45</v>
      </c>
      <c r="W582" s="1">
        <v>69</v>
      </c>
    </row>
    <row r="583" spans="10:23" x14ac:dyDescent="0.3">
      <c r="J583">
        <v>839</v>
      </c>
      <c r="K583">
        <v>2</v>
      </c>
      <c r="U583" t="s">
        <v>668</v>
      </c>
      <c r="V583" t="s">
        <v>13</v>
      </c>
      <c r="W583" s="1">
        <v>69</v>
      </c>
    </row>
    <row r="584" spans="10:23" x14ac:dyDescent="0.3">
      <c r="J584">
        <v>838</v>
      </c>
      <c r="K584">
        <v>2</v>
      </c>
      <c r="U584" t="s">
        <v>669</v>
      </c>
      <c r="V584" t="s">
        <v>146</v>
      </c>
      <c r="W584" s="1">
        <v>69</v>
      </c>
    </row>
    <row r="585" spans="10:23" x14ac:dyDescent="0.3">
      <c r="J585">
        <v>826</v>
      </c>
      <c r="K585">
        <v>2</v>
      </c>
      <c r="U585" t="s">
        <v>670</v>
      </c>
      <c r="V585" t="s">
        <v>168</v>
      </c>
      <c r="W585" s="1">
        <v>69</v>
      </c>
    </row>
    <row r="586" spans="10:23" x14ac:dyDescent="0.3">
      <c r="J586">
        <v>824</v>
      </c>
      <c r="K586">
        <v>2</v>
      </c>
      <c r="U586" t="s">
        <v>671</v>
      </c>
      <c r="V586" t="s">
        <v>75</v>
      </c>
      <c r="W586" s="1">
        <v>69</v>
      </c>
    </row>
    <row r="587" spans="10:23" x14ac:dyDescent="0.3">
      <c r="J587">
        <v>822</v>
      </c>
      <c r="K587">
        <v>2</v>
      </c>
      <c r="U587" t="s">
        <v>672</v>
      </c>
      <c r="V587" t="s">
        <v>515</v>
      </c>
      <c r="W587" s="1">
        <v>69</v>
      </c>
    </row>
    <row r="588" spans="10:23" x14ac:dyDescent="0.3">
      <c r="J588">
        <v>816</v>
      </c>
      <c r="K588">
        <v>2</v>
      </c>
      <c r="U588" t="s">
        <v>673</v>
      </c>
      <c r="V588" t="s">
        <v>171</v>
      </c>
      <c r="W588" s="1">
        <v>69</v>
      </c>
    </row>
    <row r="589" spans="10:23" x14ac:dyDescent="0.3">
      <c r="J589">
        <v>798</v>
      </c>
      <c r="K589">
        <v>2</v>
      </c>
      <c r="U589" t="s">
        <v>674</v>
      </c>
      <c r="V589" t="s">
        <v>354</v>
      </c>
      <c r="W589" s="1">
        <v>69</v>
      </c>
    </row>
    <row r="590" spans="10:23" x14ac:dyDescent="0.3">
      <c r="J590">
        <v>789</v>
      </c>
      <c r="K590">
        <v>2</v>
      </c>
      <c r="U590" t="s">
        <v>675</v>
      </c>
      <c r="V590" t="s">
        <v>63</v>
      </c>
      <c r="W590" s="1">
        <v>69</v>
      </c>
    </row>
    <row r="591" spans="10:23" x14ac:dyDescent="0.3">
      <c r="J591">
        <v>788</v>
      </c>
      <c r="K591">
        <v>2</v>
      </c>
      <c r="U591" t="s">
        <v>676</v>
      </c>
      <c r="V591" t="s">
        <v>137</v>
      </c>
      <c r="W591" s="1">
        <v>69</v>
      </c>
    </row>
    <row r="592" spans="10:23" x14ac:dyDescent="0.3">
      <c r="J592">
        <v>783</v>
      </c>
      <c r="K592">
        <v>2</v>
      </c>
      <c r="U592" t="s">
        <v>677</v>
      </c>
      <c r="V592" t="s">
        <v>23</v>
      </c>
      <c r="W592" s="1">
        <v>69</v>
      </c>
    </row>
    <row r="593" spans="10:23" x14ac:dyDescent="0.3">
      <c r="J593">
        <v>781</v>
      </c>
      <c r="K593">
        <v>2</v>
      </c>
      <c r="U593" t="s">
        <v>678</v>
      </c>
      <c r="V593" t="s">
        <v>137</v>
      </c>
      <c r="W593" s="1">
        <v>69</v>
      </c>
    </row>
    <row r="594" spans="10:23" x14ac:dyDescent="0.3">
      <c r="J594">
        <v>770</v>
      </c>
      <c r="K594">
        <v>2</v>
      </c>
      <c r="U594" t="s">
        <v>679</v>
      </c>
      <c r="V594" t="s">
        <v>244</v>
      </c>
      <c r="W594" s="1">
        <v>69</v>
      </c>
    </row>
    <row r="595" spans="10:23" x14ac:dyDescent="0.3">
      <c r="J595">
        <v>758</v>
      </c>
      <c r="K595">
        <v>2</v>
      </c>
      <c r="U595" t="s">
        <v>680</v>
      </c>
      <c r="V595" t="s">
        <v>37</v>
      </c>
      <c r="W595" s="1">
        <v>69</v>
      </c>
    </row>
    <row r="596" spans="10:23" x14ac:dyDescent="0.3">
      <c r="J596">
        <v>757</v>
      </c>
      <c r="K596">
        <v>2</v>
      </c>
      <c r="U596" t="s">
        <v>681</v>
      </c>
      <c r="V596" t="s">
        <v>45</v>
      </c>
      <c r="W596" s="1">
        <v>69</v>
      </c>
    </row>
    <row r="597" spans="10:23" x14ac:dyDescent="0.3">
      <c r="J597">
        <v>754</v>
      </c>
      <c r="K597">
        <v>2</v>
      </c>
      <c r="U597" t="s">
        <v>682</v>
      </c>
      <c r="V597" t="s">
        <v>101</v>
      </c>
      <c r="W597" s="1">
        <v>69</v>
      </c>
    </row>
    <row r="598" spans="10:23" x14ac:dyDescent="0.3">
      <c r="J598">
        <v>751</v>
      </c>
      <c r="K598">
        <v>2</v>
      </c>
      <c r="U598" t="s">
        <v>683</v>
      </c>
      <c r="V598" t="s">
        <v>146</v>
      </c>
      <c r="W598" s="1">
        <v>7920</v>
      </c>
    </row>
    <row r="599" spans="10:23" x14ac:dyDescent="0.3">
      <c r="J599">
        <v>745</v>
      </c>
      <c r="K599">
        <v>2</v>
      </c>
      <c r="U599" t="s">
        <v>684</v>
      </c>
      <c r="V599" t="s">
        <v>59</v>
      </c>
      <c r="W599" s="1">
        <v>70</v>
      </c>
    </row>
    <row r="600" spans="10:23" x14ac:dyDescent="0.3">
      <c r="J600">
        <v>744</v>
      </c>
      <c r="K600">
        <v>2</v>
      </c>
      <c r="U600" t="s">
        <v>685</v>
      </c>
      <c r="V600" t="s">
        <v>171</v>
      </c>
      <c r="W600" s="1">
        <v>70</v>
      </c>
    </row>
    <row r="601" spans="10:23" x14ac:dyDescent="0.3">
      <c r="J601">
        <v>742</v>
      </c>
      <c r="K601">
        <v>2</v>
      </c>
      <c r="U601" t="s">
        <v>686</v>
      </c>
      <c r="V601" t="s">
        <v>77</v>
      </c>
      <c r="W601" s="1">
        <v>70</v>
      </c>
    </row>
    <row r="602" spans="10:23" x14ac:dyDescent="0.3">
      <c r="J602">
        <v>739</v>
      </c>
      <c r="K602">
        <v>2</v>
      </c>
      <c r="U602" t="s">
        <v>687</v>
      </c>
      <c r="V602" t="s">
        <v>13</v>
      </c>
      <c r="W602" s="1">
        <v>70</v>
      </c>
    </row>
    <row r="603" spans="10:23" x14ac:dyDescent="0.3">
      <c r="J603">
        <v>729</v>
      </c>
      <c r="K603">
        <v>2</v>
      </c>
      <c r="U603" t="s">
        <v>688</v>
      </c>
      <c r="V603" t="s">
        <v>362</v>
      </c>
      <c r="W603" s="1">
        <v>70</v>
      </c>
    </row>
    <row r="604" spans="10:23" x14ac:dyDescent="0.3">
      <c r="J604">
        <v>728</v>
      </c>
      <c r="K604">
        <v>2</v>
      </c>
      <c r="U604" t="s">
        <v>689</v>
      </c>
      <c r="V604" t="s">
        <v>23</v>
      </c>
      <c r="W604" s="1">
        <v>70</v>
      </c>
    </row>
    <row r="605" spans="10:23" x14ac:dyDescent="0.3">
      <c r="J605">
        <v>725</v>
      </c>
      <c r="K605">
        <v>2</v>
      </c>
      <c r="U605" t="s">
        <v>690</v>
      </c>
      <c r="V605" t="s">
        <v>203</v>
      </c>
      <c r="W605" s="1">
        <v>70</v>
      </c>
    </row>
    <row r="606" spans="10:23" x14ac:dyDescent="0.3">
      <c r="J606">
        <v>722</v>
      </c>
      <c r="K606">
        <v>2</v>
      </c>
      <c r="U606" t="s">
        <v>691</v>
      </c>
      <c r="V606" t="s">
        <v>127</v>
      </c>
      <c r="W606" s="1">
        <v>70</v>
      </c>
    </row>
    <row r="607" spans="10:23" x14ac:dyDescent="0.3">
      <c r="J607">
        <v>717</v>
      </c>
      <c r="K607">
        <v>2</v>
      </c>
      <c r="U607" t="s">
        <v>692</v>
      </c>
      <c r="V607" t="s">
        <v>127</v>
      </c>
      <c r="W607" s="1">
        <v>70</v>
      </c>
    </row>
    <row r="608" spans="10:23" x14ac:dyDescent="0.3">
      <c r="J608">
        <v>712</v>
      </c>
      <c r="K608">
        <v>2</v>
      </c>
      <c r="U608" t="s">
        <v>693</v>
      </c>
      <c r="V608" t="s">
        <v>182</v>
      </c>
      <c r="W608" s="1">
        <v>70</v>
      </c>
    </row>
    <row r="609" spans="10:23" x14ac:dyDescent="0.3">
      <c r="J609">
        <v>709</v>
      </c>
      <c r="K609">
        <v>2</v>
      </c>
      <c r="U609" t="s">
        <v>694</v>
      </c>
      <c r="V609" t="s">
        <v>215</v>
      </c>
      <c r="W609" s="1">
        <v>70</v>
      </c>
    </row>
    <row r="610" spans="10:23" x14ac:dyDescent="0.3">
      <c r="J610">
        <v>706</v>
      </c>
      <c r="K610">
        <v>2</v>
      </c>
      <c r="U610" t="s">
        <v>695</v>
      </c>
      <c r="V610" t="s">
        <v>73</v>
      </c>
      <c r="W610" s="1">
        <v>70</v>
      </c>
    </row>
    <row r="611" spans="10:23" x14ac:dyDescent="0.3">
      <c r="J611">
        <v>704</v>
      </c>
      <c r="K611">
        <v>2</v>
      </c>
      <c r="U611" t="s">
        <v>696</v>
      </c>
      <c r="V611" t="s">
        <v>59</v>
      </c>
      <c r="W611" s="1">
        <v>70</v>
      </c>
    </row>
    <row r="612" spans="10:23" x14ac:dyDescent="0.3">
      <c r="J612">
        <v>693</v>
      </c>
      <c r="K612">
        <v>2</v>
      </c>
      <c r="U612" t="s">
        <v>697</v>
      </c>
      <c r="V612" t="s">
        <v>13</v>
      </c>
      <c r="W612" s="1">
        <v>70</v>
      </c>
    </row>
    <row r="613" spans="10:23" x14ac:dyDescent="0.3">
      <c r="J613">
        <v>688</v>
      </c>
      <c r="K613">
        <v>2</v>
      </c>
      <c r="U613" t="s">
        <v>698</v>
      </c>
      <c r="V613" t="s">
        <v>77</v>
      </c>
      <c r="W613" s="1">
        <v>70</v>
      </c>
    </row>
    <row r="614" spans="10:23" x14ac:dyDescent="0.3">
      <c r="J614">
        <v>681</v>
      </c>
      <c r="K614">
        <v>2</v>
      </c>
      <c r="U614" t="s">
        <v>699</v>
      </c>
      <c r="V614" t="s">
        <v>21</v>
      </c>
      <c r="W614" s="1">
        <v>70</v>
      </c>
    </row>
    <row r="615" spans="10:23" x14ac:dyDescent="0.3">
      <c r="J615">
        <v>671</v>
      </c>
      <c r="K615">
        <v>2</v>
      </c>
      <c r="U615" t="s">
        <v>700</v>
      </c>
      <c r="V615" t="s">
        <v>362</v>
      </c>
      <c r="W615" s="1">
        <v>70</v>
      </c>
    </row>
    <row r="616" spans="10:23" x14ac:dyDescent="0.3">
      <c r="J616">
        <v>670</v>
      </c>
      <c r="K616">
        <v>2</v>
      </c>
      <c r="U616" t="s">
        <v>701</v>
      </c>
      <c r="V616" t="s">
        <v>182</v>
      </c>
      <c r="W616" s="1">
        <v>70</v>
      </c>
    </row>
    <row r="617" spans="10:23" x14ac:dyDescent="0.3">
      <c r="J617">
        <v>669</v>
      </c>
      <c r="K617">
        <v>2</v>
      </c>
      <c r="U617" t="s">
        <v>702</v>
      </c>
      <c r="V617" t="s">
        <v>75</v>
      </c>
      <c r="W617" s="1">
        <v>70</v>
      </c>
    </row>
    <row r="618" spans="10:23" x14ac:dyDescent="0.3">
      <c r="J618">
        <v>666</v>
      </c>
      <c r="K618">
        <v>2</v>
      </c>
      <c r="U618" t="s">
        <v>703</v>
      </c>
      <c r="V618" t="s">
        <v>75</v>
      </c>
      <c r="W618" s="1">
        <v>70</v>
      </c>
    </row>
    <row r="619" spans="10:23" x14ac:dyDescent="0.3">
      <c r="J619">
        <v>660</v>
      </c>
      <c r="K619">
        <v>2</v>
      </c>
      <c r="U619" t="s">
        <v>704</v>
      </c>
      <c r="V619" t="s">
        <v>13</v>
      </c>
      <c r="W619" s="1">
        <v>70</v>
      </c>
    </row>
    <row r="620" spans="10:23" x14ac:dyDescent="0.3">
      <c r="J620">
        <v>658</v>
      </c>
      <c r="K620">
        <v>2</v>
      </c>
      <c r="U620" t="s">
        <v>705</v>
      </c>
      <c r="V620" t="s">
        <v>80</v>
      </c>
      <c r="W620" s="1">
        <v>700</v>
      </c>
    </row>
    <row r="621" spans="10:23" x14ac:dyDescent="0.3">
      <c r="J621">
        <v>646</v>
      </c>
      <c r="K621">
        <v>2</v>
      </c>
      <c r="U621" t="s">
        <v>706</v>
      </c>
      <c r="V621" t="s">
        <v>13</v>
      </c>
      <c r="W621" s="1">
        <v>71</v>
      </c>
    </row>
    <row r="622" spans="10:23" x14ac:dyDescent="0.3">
      <c r="J622">
        <v>643</v>
      </c>
      <c r="K622">
        <v>2</v>
      </c>
      <c r="U622" t="s">
        <v>707</v>
      </c>
      <c r="V622" t="s">
        <v>375</v>
      </c>
      <c r="W622" s="1">
        <v>71</v>
      </c>
    </row>
    <row r="623" spans="10:23" x14ac:dyDescent="0.3">
      <c r="J623">
        <v>638</v>
      </c>
      <c r="K623">
        <v>2</v>
      </c>
      <c r="U623" t="s">
        <v>708</v>
      </c>
      <c r="V623" t="s">
        <v>240</v>
      </c>
      <c r="W623" s="1">
        <v>71</v>
      </c>
    </row>
    <row r="624" spans="10:23" x14ac:dyDescent="0.3">
      <c r="J624">
        <v>629</v>
      </c>
      <c r="K624">
        <v>2</v>
      </c>
      <c r="U624" t="s">
        <v>709</v>
      </c>
      <c r="V624" t="s">
        <v>146</v>
      </c>
      <c r="W624" s="1">
        <v>71</v>
      </c>
    </row>
    <row r="625" spans="10:23" x14ac:dyDescent="0.3">
      <c r="J625">
        <v>626</v>
      </c>
      <c r="K625">
        <v>2</v>
      </c>
      <c r="U625" t="s">
        <v>710</v>
      </c>
      <c r="V625" t="s">
        <v>39</v>
      </c>
      <c r="W625" s="1">
        <v>71</v>
      </c>
    </row>
    <row r="626" spans="10:23" x14ac:dyDescent="0.3">
      <c r="J626">
        <v>619</v>
      </c>
      <c r="K626">
        <v>2</v>
      </c>
      <c r="U626" t="s">
        <v>711</v>
      </c>
      <c r="V626" t="s">
        <v>335</v>
      </c>
      <c r="W626" s="1">
        <v>71</v>
      </c>
    </row>
    <row r="627" spans="10:23" x14ac:dyDescent="0.3">
      <c r="J627">
        <v>618</v>
      </c>
      <c r="K627">
        <v>2</v>
      </c>
      <c r="U627" t="s">
        <v>712</v>
      </c>
      <c r="V627" t="s">
        <v>42</v>
      </c>
      <c r="W627" s="1">
        <v>71</v>
      </c>
    </row>
    <row r="628" spans="10:23" x14ac:dyDescent="0.3">
      <c r="J628">
        <v>617</v>
      </c>
      <c r="K628">
        <v>2</v>
      </c>
      <c r="U628" t="s">
        <v>713</v>
      </c>
      <c r="V628" t="s">
        <v>171</v>
      </c>
      <c r="W628" s="1">
        <v>71</v>
      </c>
    </row>
    <row r="629" spans="10:23" x14ac:dyDescent="0.3">
      <c r="J629">
        <v>612</v>
      </c>
      <c r="K629">
        <v>2</v>
      </c>
      <c r="U629" t="s">
        <v>714</v>
      </c>
      <c r="V629" t="s">
        <v>246</v>
      </c>
      <c r="W629" s="1">
        <v>71</v>
      </c>
    </row>
    <row r="630" spans="10:23" x14ac:dyDescent="0.3">
      <c r="J630">
        <v>611</v>
      </c>
      <c r="K630">
        <v>2</v>
      </c>
      <c r="U630" t="s">
        <v>715</v>
      </c>
      <c r="V630" t="s">
        <v>612</v>
      </c>
      <c r="W630" s="1">
        <v>71</v>
      </c>
    </row>
    <row r="631" spans="10:23" x14ac:dyDescent="0.3">
      <c r="J631">
        <v>608</v>
      </c>
      <c r="K631">
        <v>2</v>
      </c>
      <c r="U631" t="s">
        <v>716</v>
      </c>
      <c r="V631" t="s">
        <v>158</v>
      </c>
      <c r="W631" s="1">
        <v>71</v>
      </c>
    </row>
    <row r="632" spans="10:23" x14ac:dyDescent="0.3">
      <c r="J632">
        <v>607</v>
      </c>
      <c r="K632">
        <v>2</v>
      </c>
      <c r="U632" t="s">
        <v>717</v>
      </c>
      <c r="V632" t="s">
        <v>11</v>
      </c>
      <c r="W632" s="1">
        <v>71</v>
      </c>
    </row>
    <row r="633" spans="10:23" x14ac:dyDescent="0.3">
      <c r="J633">
        <v>606</v>
      </c>
      <c r="K633">
        <v>2</v>
      </c>
      <c r="U633" t="s">
        <v>718</v>
      </c>
      <c r="V633" t="s">
        <v>354</v>
      </c>
      <c r="W633" s="1">
        <v>71</v>
      </c>
    </row>
    <row r="634" spans="10:23" x14ac:dyDescent="0.3">
      <c r="J634">
        <v>604</v>
      </c>
      <c r="K634">
        <v>2</v>
      </c>
      <c r="U634" t="s">
        <v>719</v>
      </c>
      <c r="V634" t="s">
        <v>13</v>
      </c>
      <c r="W634" s="1">
        <v>71</v>
      </c>
    </row>
    <row r="635" spans="10:23" x14ac:dyDescent="0.3">
      <c r="J635">
        <v>602</v>
      </c>
      <c r="K635">
        <v>2</v>
      </c>
      <c r="U635" t="s">
        <v>720</v>
      </c>
      <c r="V635" t="s">
        <v>127</v>
      </c>
      <c r="W635" s="1">
        <v>72</v>
      </c>
    </row>
    <row r="636" spans="10:23" x14ac:dyDescent="0.3">
      <c r="J636">
        <v>597</v>
      </c>
      <c r="K636">
        <v>2</v>
      </c>
      <c r="U636" t="s">
        <v>721</v>
      </c>
      <c r="V636" t="s">
        <v>23</v>
      </c>
      <c r="W636" s="1">
        <v>72</v>
      </c>
    </row>
    <row r="637" spans="10:23" x14ac:dyDescent="0.3">
      <c r="J637">
        <v>583</v>
      </c>
      <c r="K637">
        <v>2</v>
      </c>
      <c r="U637" t="s">
        <v>722</v>
      </c>
      <c r="V637" t="s">
        <v>101</v>
      </c>
      <c r="W637" s="1">
        <v>72</v>
      </c>
    </row>
    <row r="638" spans="10:23" x14ac:dyDescent="0.3">
      <c r="J638">
        <v>58</v>
      </c>
      <c r="K638">
        <v>2</v>
      </c>
      <c r="U638" t="s">
        <v>723</v>
      </c>
      <c r="V638" t="s">
        <v>257</v>
      </c>
      <c r="W638" s="1">
        <v>72</v>
      </c>
    </row>
    <row r="639" spans="10:23" x14ac:dyDescent="0.3">
      <c r="J639">
        <v>575</v>
      </c>
      <c r="K639">
        <v>2</v>
      </c>
      <c r="U639" t="s">
        <v>724</v>
      </c>
      <c r="V639" t="s">
        <v>168</v>
      </c>
      <c r="W639" s="1">
        <v>72</v>
      </c>
    </row>
    <row r="640" spans="10:23" x14ac:dyDescent="0.3">
      <c r="J640">
        <v>568</v>
      </c>
      <c r="K640">
        <v>2</v>
      </c>
      <c r="U640" t="s">
        <v>725</v>
      </c>
      <c r="V640" t="s">
        <v>177</v>
      </c>
      <c r="W640" s="1">
        <v>72</v>
      </c>
    </row>
    <row r="641" spans="10:23" x14ac:dyDescent="0.3">
      <c r="J641">
        <v>563</v>
      </c>
      <c r="K641">
        <v>2</v>
      </c>
      <c r="U641" t="s">
        <v>726</v>
      </c>
      <c r="V641" t="s">
        <v>612</v>
      </c>
      <c r="W641" s="1">
        <v>72</v>
      </c>
    </row>
    <row r="642" spans="10:23" x14ac:dyDescent="0.3">
      <c r="J642">
        <v>560</v>
      </c>
      <c r="K642">
        <v>2</v>
      </c>
      <c r="U642" t="s">
        <v>727</v>
      </c>
      <c r="V642" t="s">
        <v>29</v>
      </c>
      <c r="W642" s="1">
        <v>72</v>
      </c>
    </row>
    <row r="643" spans="10:23" x14ac:dyDescent="0.3">
      <c r="J643">
        <v>56</v>
      </c>
      <c r="K643">
        <v>2</v>
      </c>
      <c r="U643" t="s">
        <v>728</v>
      </c>
      <c r="V643" t="s">
        <v>75</v>
      </c>
      <c r="W643" s="1">
        <v>72</v>
      </c>
    </row>
    <row r="644" spans="10:23" x14ac:dyDescent="0.3">
      <c r="J644">
        <v>559</v>
      </c>
      <c r="K644">
        <v>2</v>
      </c>
      <c r="U644" t="s">
        <v>729</v>
      </c>
      <c r="V644" t="s">
        <v>73</v>
      </c>
      <c r="W644" s="1">
        <v>72</v>
      </c>
    </row>
    <row r="645" spans="10:23" x14ac:dyDescent="0.3">
      <c r="J645">
        <v>557</v>
      </c>
      <c r="K645">
        <v>2</v>
      </c>
      <c r="U645" t="s">
        <v>730</v>
      </c>
      <c r="V645" t="s">
        <v>73</v>
      </c>
      <c r="W645" s="1">
        <v>72</v>
      </c>
    </row>
    <row r="646" spans="10:23" x14ac:dyDescent="0.3">
      <c r="J646">
        <v>556</v>
      </c>
      <c r="K646">
        <v>2</v>
      </c>
      <c r="U646" t="s">
        <v>731</v>
      </c>
      <c r="V646" t="s">
        <v>732</v>
      </c>
      <c r="W646" s="1">
        <v>72</v>
      </c>
    </row>
    <row r="647" spans="10:23" x14ac:dyDescent="0.3">
      <c r="J647">
        <v>551</v>
      </c>
      <c r="K647">
        <v>2</v>
      </c>
      <c r="U647" t="s">
        <v>733</v>
      </c>
      <c r="V647" t="s">
        <v>25</v>
      </c>
      <c r="W647" s="1">
        <v>72</v>
      </c>
    </row>
    <row r="648" spans="10:23" x14ac:dyDescent="0.3">
      <c r="J648">
        <v>55</v>
      </c>
      <c r="K648">
        <v>2</v>
      </c>
      <c r="U648" t="s">
        <v>734</v>
      </c>
      <c r="V648" t="s">
        <v>13</v>
      </c>
      <c r="W648" s="1">
        <v>72</v>
      </c>
    </row>
    <row r="649" spans="10:23" x14ac:dyDescent="0.3">
      <c r="J649">
        <v>548</v>
      </c>
      <c r="K649">
        <v>2</v>
      </c>
      <c r="U649" t="s">
        <v>735</v>
      </c>
      <c r="V649" t="s">
        <v>203</v>
      </c>
      <c r="W649" s="1">
        <v>72</v>
      </c>
    </row>
    <row r="650" spans="10:23" x14ac:dyDescent="0.3">
      <c r="J650">
        <v>542</v>
      </c>
      <c r="K650">
        <v>2</v>
      </c>
      <c r="U650" t="s">
        <v>736</v>
      </c>
      <c r="V650" t="s">
        <v>13</v>
      </c>
      <c r="W650" s="1">
        <v>72</v>
      </c>
    </row>
    <row r="651" spans="10:23" x14ac:dyDescent="0.3">
      <c r="J651">
        <v>541</v>
      </c>
      <c r="K651">
        <v>2</v>
      </c>
      <c r="U651" t="s">
        <v>737</v>
      </c>
      <c r="V651" t="s">
        <v>112</v>
      </c>
      <c r="W651" s="1">
        <v>72</v>
      </c>
    </row>
    <row r="652" spans="10:23" x14ac:dyDescent="0.3">
      <c r="J652">
        <v>539</v>
      </c>
      <c r="K652">
        <v>2</v>
      </c>
      <c r="U652" t="s">
        <v>738</v>
      </c>
      <c r="V652" t="s">
        <v>380</v>
      </c>
      <c r="W652" s="1">
        <v>72</v>
      </c>
    </row>
    <row r="653" spans="10:23" x14ac:dyDescent="0.3">
      <c r="J653">
        <v>531</v>
      </c>
      <c r="K653">
        <v>2</v>
      </c>
      <c r="U653" t="s">
        <v>739</v>
      </c>
      <c r="V653" t="s">
        <v>244</v>
      </c>
      <c r="W653" s="1">
        <v>72</v>
      </c>
    </row>
    <row r="654" spans="10:23" x14ac:dyDescent="0.3">
      <c r="J654">
        <v>527</v>
      </c>
      <c r="K654">
        <v>2</v>
      </c>
      <c r="U654" t="s">
        <v>740</v>
      </c>
      <c r="V654" t="s">
        <v>48</v>
      </c>
      <c r="W654" s="1">
        <v>72</v>
      </c>
    </row>
    <row r="655" spans="10:23" x14ac:dyDescent="0.3">
      <c r="J655">
        <v>524</v>
      </c>
      <c r="K655">
        <v>2</v>
      </c>
      <c r="U655" t="s">
        <v>741</v>
      </c>
      <c r="V655" t="s">
        <v>45</v>
      </c>
      <c r="W655" s="1">
        <v>72</v>
      </c>
    </row>
    <row r="656" spans="10:23" x14ac:dyDescent="0.3">
      <c r="J656">
        <v>522</v>
      </c>
      <c r="K656">
        <v>2</v>
      </c>
      <c r="U656" t="s">
        <v>742</v>
      </c>
      <c r="V656" t="s">
        <v>246</v>
      </c>
      <c r="W656" s="1">
        <v>72</v>
      </c>
    </row>
    <row r="657" spans="10:23" x14ac:dyDescent="0.3">
      <c r="J657">
        <v>516</v>
      </c>
      <c r="K657">
        <v>2</v>
      </c>
      <c r="U657" t="s">
        <v>743</v>
      </c>
      <c r="V657" t="s">
        <v>13</v>
      </c>
      <c r="W657" s="1">
        <v>72</v>
      </c>
    </row>
    <row r="658" spans="10:23" x14ac:dyDescent="0.3">
      <c r="J658">
        <v>513</v>
      </c>
      <c r="K658">
        <v>2</v>
      </c>
      <c r="U658" t="s">
        <v>744</v>
      </c>
      <c r="V658" t="s">
        <v>23</v>
      </c>
      <c r="W658" s="1">
        <v>72</v>
      </c>
    </row>
    <row r="659" spans="10:23" x14ac:dyDescent="0.3">
      <c r="J659">
        <v>51</v>
      </c>
      <c r="K659">
        <v>2</v>
      </c>
      <c r="U659" t="s">
        <v>745</v>
      </c>
      <c r="V659" t="s">
        <v>23</v>
      </c>
      <c r="W659" s="1">
        <v>72</v>
      </c>
    </row>
    <row r="660" spans="10:23" x14ac:dyDescent="0.3">
      <c r="J660">
        <v>508</v>
      </c>
      <c r="K660">
        <v>2</v>
      </c>
      <c r="U660" t="s">
        <v>746</v>
      </c>
      <c r="V660" t="s">
        <v>114</v>
      </c>
      <c r="W660" s="1">
        <v>72</v>
      </c>
    </row>
    <row r="661" spans="10:23" x14ac:dyDescent="0.3">
      <c r="J661">
        <v>507</v>
      </c>
      <c r="K661">
        <v>2</v>
      </c>
      <c r="U661" t="s">
        <v>747</v>
      </c>
      <c r="V661" t="s">
        <v>17</v>
      </c>
      <c r="W661" s="1">
        <v>720</v>
      </c>
    </row>
    <row r="662" spans="10:23" x14ac:dyDescent="0.3">
      <c r="J662">
        <v>499</v>
      </c>
      <c r="K662">
        <v>2</v>
      </c>
      <c r="U662" t="s">
        <v>748</v>
      </c>
      <c r="V662" t="s">
        <v>73</v>
      </c>
      <c r="W662" s="1">
        <v>73</v>
      </c>
    </row>
    <row r="663" spans="10:23" x14ac:dyDescent="0.3">
      <c r="J663">
        <v>498</v>
      </c>
      <c r="K663">
        <v>2</v>
      </c>
      <c r="U663" t="s">
        <v>749</v>
      </c>
      <c r="V663" t="s">
        <v>63</v>
      </c>
      <c r="W663" s="1">
        <v>73</v>
      </c>
    </row>
    <row r="664" spans="10:23" x14ac:dyDescent="0.3">
      <c r="J664">
        <v>496</v>
      </c>
      <c r="K664">
        <v>2</v>
      </c>
      <c r="U664" t="s">
        <v>750</v>
      </c>
      <c r="V664" t="s">
        <v>101</v>
      </c>
      <c r="W664" s="1">
        <v>73</v>
      </c>
    </row>
    <row r="665" spans="10:23" x14ac:dyDescent="0.3">
      <c r="J665">
        <v>478</v>
      </c>
      <c r="K665">
        <v>2</v>
      </c>
      <c r="U665" t="s">
        <v>751</v>
      </c>
      <c r="V665" t="s">
        <v>415</v>
      </c>
      <c r="W665" s="1">
        <v>73</v>
      </c>
    </row>
    <row r="666" spans="10:23" x14ac:dyDescent="0.3">
      <c r="J666">
        <v>473</v>
      </c>
      <c r="K666">
        <v>2</v>
      </c>
      <c r="U666" t="s">
        <v>752</v>
      </c>
      <c r="V666" t="s">
        <v>73</v>
      </c>
      <c r="W666" s="1">
        <v>73</v>
      </c>
    </row>
    <row r="667" spans="10:23" x14ac:dyDescent="0.3">
      <c r="J667">
        <v>456</v>
      </c>
      <c r="K667">
        <v>2</v>
      </c>
      <c r="U667" t="s">
        <v>753</v>
      </c>
      <c r="V667" t="s">
        <v>39</v>
      </c>
      <c r="W667" s="1">
        <v>73</v>
      </c>
    </row>
    <row r="668" spans="10:23" x14ac:dyDescent="0.3">
      <c r="J668">
        <v>454</v>
      </c>
      <c r="K668">
        <v>2</v>
      </c>
      <c r="U668" t="s">
        <v>754</v>
      </c>
      <c r="V668" t="s">
        <v>23</v>
      </c>
      <c r="W668" s="1">
        <v>73</v>
      </c>
    </row>
    <row r="669" spans="10:23" x14ac:dyDescent="0.3">
      <c r="J669">
        <v>404</v>
      </c>
      <c r="K669">
        <v>2</v>
      </c>
      <c r="U669" t="s">
        <v>755</v>
      </c>
      <c r="V669" t="s">
        <v>45</v>
      </c>
      <c r="W669" s="1">
        <v>73</v>
      </c>
    </row>
    <row r="670" spans="10:23" x14ac:dyDescent="0.3">
      <c r="J670">
        <v>401</v>
      </c>
      <c r="K670">
        <v>2</v>
      </c>
      <c r="U670" t="s">
        <v>756</v>
      </c>
      <c r="V670" t="s">
        <v>77</v>
      </c>
      <c r="W670" s="1">
        <v>73</v>
      </c>
    </row>
    <row r="671" spans="10:23" x14ac:dyDescent="0.3">
      <c r="J671">
        <v>391</v>
      </c>
      <c r="K671">
        <v>2</v>
      </c>
      <c r="U671" t="s">
        <v>757</v>
      </c>
      <c r="V671" t="s">
        <v>324</v>
      </c>
      <c r="W671" s="1">
        <v>73</v>
      </c>
    </row>
    <row r="672" spans="10:23" x14ac:dyDescent="0.3">
      <c r="J672">
        <v>2700</v>
      </c>
      <c r="K672">
        <v>2</v>
      </c>
      <c r="U672" t="s">
        <v>758</v>
      </c>
      <c r="V672" t="s">
        <v>612</v>
      </c>
      <c r="W672" s="1">
        <v>73</v>
      </c>
    </row>
    <row r="673" spans="10:23" x14ac:dyDescent="0.3">
      <c r="J673">
        <v>2250</v>
      </c>
      <c r="K673">
        <v>2</v>
      </c>
      <c r="U673" t="s">
        <v>759</v>
      </c>
      <c r="V673" t="s">
        <v>127</v>
      </c>
      <c r="W673" s="1">
        <v>73</v>
      </c>
    </row>
    <row r="674" spans="10:23" x14ac:dyDescent="0.3">
      <c r="J674">
        <v>2000</v>
      </c>
      <c r="K674">
        <v>2</v>
      </c>
      <c r="U674" t="s">
        <v>760</v>
      </c>
      <c r="V674" t="s">
        <v>29</v>
      </c>
      <c r="W674" s="1">
        <v>74</v>
      </c>
    </row>
    <row r="675" spans="10:23" x14ac:dyDescent="0.3">
      <c r="J675">
        <v>1913</v>
      </c>
      <c r="K675">
        <v>2</v>
      </c>
      <c r="U675" t="s">
        <v>761</v>
      </c>
      <c r="V675" t="s">
        <v>246</v>
      </c>
      <c r="W675" s="1">
        <v>74</v>
      </c>
    </row>
    <row r="676" spans="10:23" x14ac:dyDescent="0.3">
      <c r="J676">
        <v>1800</v>
      </c>
      <c r="K676">
        <v>2</v>
      </c>
      <c r="U676" t="s">
        <v>762</v>
      </c>
      <c r="V676" t="s">
        <v>23</v>
      </c>
      <c r="W676" s="1">
        <v>74</v>
      </c>
    </row>
    <row r="677" spans="10:23" x14ac:dyDescent="0.3">
      <c r="J677">
        <v>1714</v>
      </c>
      <c r="K677">
        <v>2</v>
      </c>
      <c r="U677" t="s">
        <v>763</v>
      </c>
      <c r="V677" t="s">
        <v>29</v>
      </c>
      <c r="W677" s="1">
        <v>74</v>
      </c>
    </row>
    <row r="678" spans="10:23" x14ac:dyDescent="0.3">
      <c r="J678">
        <v>1484</v>
      </c>
      <c r="K678">
        <v>2</v>
      </c>
      <c r="U678" t="s">
        <v>764</v>
      </c>
      <c r="V678" t="s">
        <v>339</v>
      </c>
      <c r="W678" s="1">
        <v>74</v>
      </c>
    </row>
    <row r="679" spans="10:23" x14ac:dyDescent="0.3">
      <c r="J679">
        <v>1271</v>
      </c>
      <c r="K679">
        <v>2</v>
      </c>
      <c r="U679" t="s">
        <v>765</v>
      </c>
      <c r="V679" t="s">
        <v>80</v>
      </c>
      <c r="W679" s="1">
        <v>74</v>
      </c>
    </row>
    <row r="680" spans="10:23" x14ac:dyDescent="0.3">
      <c r="J680">
        <v>1260</v>
      </c>
      <c r="K680">
        <v>2</v>
      </c>
      <c r="U680" t="s">
        <v>766</v>
      </c>
      <c r="V680" t="s">
        <v>39</v>
      </c>
      <c r="W680" s="1">
        <v>74</v>
      </c>
    </row>
    <row r="681" spans="10:23" x14ac:dyDescent="0.3">
      <c r="J681">
        <v>1230</v>
      </c>
      <c r="K681">
        <v>2</v>
      </c>
      <c r="U681" t="s">
        <v>767</v>
      </c>
      <c r="V681" t="s">
        <v>25</v>
      </c>
      <c r="W681" s="1">
        <v>74</v>
      </c>
    </row>
    <row r="682" spans="10:23" x14ac:dyDescent="0.3">
      <c r="J682">
        <v>1161</v>
      </c>
      <c r="K682">
        <v>2</v>
      </c>
      <c r="U682" t="s">
        <v>768</v>
      </c>
      <c r="V682" t="s">
        <v>69</v>
      </c>
      <c r="W682" s="1">
        <v>74</v>
      </c>
    </row>
    <row r="683" spans="10:23" x14ac:dyDescent="0.3">
      <c r="J683">
        <v>1138</v>
      </c>
      <c r="K683">
        <v>2</v>
      </c>
      <c r="U683" t="s">
        <v>769</v>
      </c>
      <c r="V683" t="s">
        <v>23</v>
      </c>
      <c r="W683" s="1">
        <v>74</v>
      </c>
    </row>
    <row r="684" spans="10:23" x14ac:dyDescent="0.3">
      <c r="J684">
        <v>1093</v>
      </c>
      <c r="K684">
        <v>2</v>
      </c>
      <c r="U684" t="s">
        <v>770</v>
      </c>
      <c r="V684" t="s">
        <v>25</v>
      </c>
      <c r="W684" s="1">
        <v>75</v>
      </c>
    </row>
    <row r="685" spans="10:23" x14ac:dyDescent="0.3">
      <c r="J685">
        <v>999</v>
      </c>
      <c r="K685">
        <v>1</v>
      </c>
      <c r="U685" t="s">
        <v>771</v>
      </c>
      <c r="V685" t="s">
        <v>772</v>
      </c>
      <c r="W685" s="1">
        <v>75</v>
      </c>
    </row>
    <row r="686" spans="10:23" x14ac:dyDescent="0.3">
      <c r="J686">
        <v>995</v>
      </c>
      <c r="K686">
        <v>1</v>
      </c>
      <c r="U686" t="s">
        <v>773</v>
      </c>
      <c r="V686" t="s">
        <v>354</v>
      </c>
      <c r="W686" s="1">
        <v>75</v>
      </c>
    </row>
    <row r="687" spans="10:23" x14ac:dyDescent="0.3">
      <c r="J687">
        <v>989</v>
      </c>
      <c r="K687">
        <v>1</v>
      </c>
      <c r="U687" t="s">
        <v>774</v>
      </c>
      <c r="V687" t="s">
        <v>73</v>
      </c>
      <c r="W687" s="1">
        <v>75</v>
      </c>
    </row>
    <row r="688" spans="10:23" x14ac:dyDescent="0.3">
      <c r="J688">
        <v>986</v>
      </c>
      <c r="K688">
        <v>1</v>
      </c>
      <c r="U688" t="s">
        <v>775</v>
      </c>
      <c r="V688" t="s">
        <v>75</v>
      </c>
      <c r="W688" s="1">
        <v>75</v>
      </c>
    </row>
    <row r="689" spans="10:23" x14ac:dyDescent="0.3">
      <c r="J689">
        <v>985</v>
      </c>
      <c r="K689">
        <v>1</v>
      </c>
      <c r="U689" t="s">
        <v>776</v>
      </c>
      <c r="V689" t="s">
        <v>63</v>
      </c>
      <c r="W689" s="1">
        <v>75</v>
      </c>
    </row>
    <row r="690" spans="10:23" x14ac:dyDescent="0.3">
      <c r="J690">
        <v>984</v>
      </c>
      <c r="K690">
        <v>1</v>
      </c>
      <c r="U690" t="s">
        <v>777</v>
      </c>
      <c r="V690" t="s">
        <v>171</v>
      </c>
      <c r="W690" s="1">
        <v>75</v>
      </c>
    </row>
    <row r="691" spans="10:23" x14ac:dyDescent="0.3">
      <c r="J691">
        <v>978</v>
      </c>
      <c r="K691">
        <v>1</v>
      </c>
      <c r="U691" t="s">
        <v>778</v>
      </c>
      <c r="V691" t="s">
        <v>164</v>
      </c>
      <c r="W691" s="1">
        <v>75</v>
      </c>
    </row>
    <row r="692" spans="10:23" x14ac:dyDescent="0.3">
      <c r="J692">
        <v>974</v>
      </c>
      <c r="K692">
        <v>1</v>
      </c>
      <c r="U692" t="s">
        <v>779</v>
      </c>
      <c r="V692" t="s">
        <v>63</v>
      </c>
      <c r="W692" s="1">
        <v>75</v>
      </c>
    </row>
    <row r="693" spans="10:23" x14ac:dyDescent="0.3">
      <c r="J693">
        <v>971</v>
      </c>
      <c r="K693">
        <v>1</v>
      </c>
      <c r="U693" t="s">
        <v>780</v>
      </c>
      <c r="V693" t="s">
        <v>59</v>
      </c>
      <c r="W693" s="1">
        <v>75</v>
      </c>
    </row>
    <row r="694" spans="10:23" x14ac:dyDescent="0.3">
      <c r="J694">
        <v>969</v>
      </c>
      <c r="K694">
        <v>1</v>
      </c>
      <c r="U694" t="s">
        <v>781</v>
      </c>
      <c r="V694" t="s">
        <v>515</v>
      </c>
      <c r="W694" s="1">
        <v>75</v>
      </c>
    </row>
    <row r="695" spans="10:23" x14ac:dyDescent="0.3">
      <c r="J695">
        <v>967</v>
      </c>
      <c r="K695">
        <v>1</v>
      </c>
      <c r="U695" t="s">
        <v>782</v>
      </c>
      <c r="V695" t="s">
        <v>487</v>
      </c>
      <c r="W695" s="1">
        <v>75</v>
      </c>
    </row>
    <row r="696" spans="10:23" x14ac:dyDescent="0.3">
      <c r="J696">
        <v>966</v>
      </c>
      <c r="K696">
        <v>1</v>
      </c>
      <c r="U696" t="s">
        <v>783</v>
      </c>
      <c r="V696" t="s">
        <v>73</v>
      </c>
      <c r="W696" s="1">
        <v>75</v>
      </c>
    </row>
    <row r="697" spans="10:23" x14ac:dyDescent="0.3">
      <c r="J697">
        <v>957</v>
      </c>
      <c r="K697">
        <v>1</v>
      </c>
      <c r="U697" t="s">
        <v>784</v>
      </c>
      <c r="V697" t="s">
        <v>487</v>
      </c>
      <c r="W697" s="1">
        <v>75</v>
      </c>
    </row>
    <row r="698" spans="10:23" x14ac:dyDescent="0.3">
      <c r="J698">
        <v>956</v>
      </c>
      <c r="K698">
        <v>1</v>
      </c>
      <c r="U698" t="s">
        <v>785</v>
      </c>
      <c r="V698" t="s">
        <v>146</v>
      </c>
      <c r="W698" s="1">
        <v>75</v>
      </c>
    </row>
    <row r="699" spans="10:23" x14ac:dyDescent="0.3">
      <c r="J699">
        <v>955</v>
      </c>
      <c r="K699">
        <v>1</v>
      </c>
      <c r="U699" t="s">
        <v>786</v>
      </c>
      <c r="V699" t="s">
        <v>150</v>
      </c>
      <c r="W699" s="1">
        <v>75</v>
      </c>
    </row>
    <row r="700" spans="10:23" x14ac:dyDescent="0.3">
      <c r="J700">
        <v>946</v>
      </c>
      <c r="K700">
        <v>1</v>
      </c>
      <c r="U700" t="s">
        <v>787</v>
      </c>
      <c r="V700" t="s">
        <v>77</v>
      </c>
      <c r="W700" s="1">
        <v>75</v>
      </c>
    </row>
    <row r="701" spans="10:23" x14ac:dyDescent="0.3">
      <c r="J701">
        <v>936</v>
      </c>
      <c r="K701">
        <v>1</v>
      </c>
      <c r="U701" t="s">
        <v>788</v>
      </c>
      <c r="V701" t="s">
        <v>772</v>
      </c>
      <c r="W701" s="1">
        <v>75</v>
      </c>
    </row>
    <row r="702" spans="10:23" x14ac:dyDescent="0.3">
      <c r="J702">
        <v>935</v>
      </c>
      <c r="K702">
        <v>1</v>
      </c>
      <c r="U702" t="s">
        <v>789</v>
      </c>
      <c r="V702" t="s">
        <v>101</v>
      </c>
      <c r="W702" s="1">
        <v>75</v>
      </c>
    </row>
    <row r="703" spans="10:23" x14ac:dyDescent="0.3">
      <c r="J703">
        <v>932</v>
      </c>
      <c r="K703">
        <v>1</v>
      </c>
      <c r="U703" t="s">
        <v>790</v>
      </c>
      <c r="V703" t="s">
        <v>203</v>
      </c>
      <c r="W703" s="1">
        <v>75</v>
      </c>
    </row>
    <row r="704" spans="10:23" x14ac:dyDescent="0.3">
      <c r="J704">
        <v>927</v>
      </c>
      <c r="K704">
        <v>1</v>
      </c>
      <c r="U704" t="s">
        <v>791</v>
      </c>
      <c r="V704" t="s">
        <v>354</v>
      </c>
      <c r="W704" s="1">
        <v>75</v>
      </c>
    </row>
    <row r="705" spans="10:23" x14ac:dyDescent="0.3">
      <c r="J705">
        <v>925</v>
      </c>
      <c r="K705">
        <v>1</v>
      </c>
      <c r="U705" t="s">
        <v>792</v>
      </c>
      <c r="V705" t="s">
        <v>497</v>
      </c>
      <c r="W705" s="1">
        <v>75</v>
      </c>
    </row>
    <row r="706" spans="10:23" x14ac:dyDescent="0.3">
      <c r="J706">
        <v>923</v>
      </c>
      <c r="K706">
        <v>1</v>
      </c>
      <c r="U706" t="s">
        <v>793</v>
      </c>
      <c r="V706" t="s">
        <v>65</v>
      </c>
      <c r="W706" s="1">
        <v>75</v>
      </c>
    </row>
    <row r="707" spans="10:23" x14ac:dyDescent="0.3">
      <c r="J707">
        <v>922</v>
      </c>
      <c r="K707">
        <v>1</v>
      </c>
      <c r="U707" t="s">
        <v>794</v>
      </c>
      <c r="V707" t="s">
        <v>354</v>
      </c>
      <c r="W707" s="1">
        <v>75</v>
      </c>
    </row>
    <row r="708" spans="10:23" x14ac:dyDescent="0.3">
      <c r="J708">
        <v>918</v>
      </c>
      <c r="K708">
        <v>1</v>
      </c>
      <c r="U708" t="s">
        <v>795</v>
      </c>
      <c r="V708" t="s">
        <v>73</v>
      </c>
      <c r="W708" s="1">
        <v>75</v>
      </c>
    </row>
    <row r="709" spans="10:23" x14ac:dyDescent="0.3">
      <c r="J709">
        <v>911</v>
      </c>
      <c r="K709">
        <v>1</v>
      </c>
      <c r="U709" t="s">
        <v>796</v>
      </c>
      <c r="V709" t="s">
        <v>257</v>
      </c>
      <c r="W709" s="1">
        <v>75</v>
      </c>
    </row>
    <row r="710" spans="10:23" x14ac:dyDescent="0.3">
      <c r="J710">
        <v>906</v>
      </c>
      <c r="K710">
        <v>1</v>
      </c>
      <c r="U710" t="s">
        <v>797</v>
      </c>
      <c r="V710" t="s">
        <v>501</v>
      </c>
      <c r="W710" s="1">
        <v>75</v>
      </c>
    </row>
    <row r="711" spans="10:23" x14ac:dyDescent="0.3">
      <c r="J711">
        <v>905</v>
      </c>
      <c r="K711">
        <v>1</v>
      </c>
      <c r="U711" t="s">
        <v>798</v>
      </c>
      <c r="V711" t="s">
        <v>13</v>
      </c>
      <c r="W711" s="1">
        <v>76</v>
      </c>
    </row>
    <row r="712" spans="10:23" x14ac:dyDescent="0.3">
      <c r="J712">
        <v>902</v>
      </c>
      <c r="K712">
        <v>1</v>
      </c>
      <c r="U712" t="s">
        <v>799</v>
      </c>
      <c r="V712" t="s">
        <v>23</v>
      </c>
      <c r="W712" s="1">
        <v>76</v>
      </c>
    </row>
    <row r="713" spans="10:23" x14ac:dyDescent="0.3">
      <c r="J713">
        <v>9706</v>
      </c>
      <c r="K713">
        <v>1</v>
      </c>
      <c r="U713" t="s">
        <v>800</v>
      </c>
      <c r="V713" t="s">
        <v>127</v>
      </c>
      <c r="W713" s="1">
        <v>76</v>
      </c>
    </row>
    <row r="714" spans="10:23" x14ac:dyDescent="0.3">
      <c r="J714">
        <v>898</v>
      </c>
      <c r="K714">
        <v>1</v>
      </c>
      <c r="U714" t="s">
        <v>801</v>
      </c>
      <c r="V714" t="s">
        <v>483</v>
      </c>
      <c r="W714" s="1">
        <v>76</v>
      </c>
    </row>
    <row r="715" spans="10:23" x14ac:dyDescent="0.3">
      <c r="J715">
        <v>895</v>
      </c>
      <c r="K715">
        <v>1</v>
      </c>
      <c r="U715" t="s">
        <v>802</v>
      </c>
      <c r="V715" t="s">
        <v>240</v>
      </c>
      <c r="W715" s="1">
        <v>76</v>
      </c>
    </row>
    <row r="716" spans="10:23" x14ac:dyDescent="0.3">
      <c r="J716">
        <v>892</v>
      </c>
      <c r="K716">
        <v>1</v>
      </c>
      <c r="U716" t="s">
        <v>803</v>
      </c>
      <c r="V716" t="s">
        <v>77</v>
      </c>
      <c r="W716" s="1">
        <v>76</v>
      </c>
    </row>
    <row r="717" spans="10:23" x14ac:dyDescent="0.3">
      <c r="J717">
        <v>885</v>
      </c>
      <c r="K717">
        <v>1</v>
      </c>
      <c r="U717" t="s">
        <v>804</v>
      </c>
      <c r="V717" t="s">
        <v>127</v>
      </c>
      <c r="W717" s="1">
        <v>76</v>
      </c>
    </row>
    <row r="718" spans="10:23" x14ac:dyDescent="0.3">
      <c r="J718">
        <v>884</v>
      </c>
      <c r="K718">
        <v>1</v>
      </c>
      <c r="U718" t="s">
        <v>805</v>
      </c>
      <c r="V718" t="s">
        <v>45</v>
      </c>
      <c r="W718" s="1">
        <v>76</v>
      </c>
    </row>
    <row r="719" spans="10:23" x14ac:dyDescent="0.3">
      <c r="J719">
        <v>882</v>
      </c>
      <c r="K719">
        <v>1</v>
      </c>
      <c r="U719" t="s">
        <v>806</v>
      </c>
      <c r="V719" t="s">
        <v>515</v>
      </c>
      <c r="W719" s="1">
        <v>76</v>
      </c>
    </row>
    <row r="720" spans="10:23" x14ac:dyDescent="0.3">
      <c r="J720">
        <v>873</v>
      </c>
      <c r="K720">
        <v>1</v>
      </c>
      <c r="U720" t="s">
        <v>807</v>
      </c>
      <c r="V720" t="s">
        <v>150</v>
      </c>
      <c r="W720" s="1">
        <v>76</v>
      </c>
    </row>
    <row r="721" spans="10:23" x14ac:dyDescent="0.3">
      <c r="J721">
        <v>871</v>
      </c>
      <c r="K721">
        <v>1</v>
      </c>
      <c r="U721" t="s">
        <v>808</v>
      </c>
      <c r="V721" t="s">
        <v>182</v>
      </c>
      <c r="W721" s="1">
        <v>76</v>
      </c>
    </row>
    <row r="722" spans="10:23" x14ac:dyDescent="0.3">
      <c r="J722">
        <v>869</v>
      </c>
      <c r="K722">
        <v>1</v>
      </c>
      <c r="U722" t="s">
        <v>809</v>
      </c>
      <c r="V722" t="s">
        <v>17</v>
      </c>
      <c r="W722" s="1">
        <v>76</v>
      </c>
    </row>
    <row r="723" spans="10:23" x14ac:dyDescent="0.3">
      <c r="J723">
        <v>867</v>
      </c>
      <c r="K723">
        <v>1</v>
      </c>
      <c r="U723" t="s">
        <v>810</v>
      </c>
      <c r="V723" t="s">
        <v>127</v>
      </c>
      <c r="W723" s="1">
        <v>76</v>
      </c>
    </row>
    <row r="724" spans="10:23" x14ac:dyDescent="0.3">
      <c r="J724">
        <v>864</v>
      </c>
      <c r="K724">
        <v>1</v>
      </c>
      <c r="U724" t="s">
        <v>811</v>
      </c>
      <c r="V724" t="s">
        <v>354</v>
      </c>
      <c r="W724" s="1">
        <v>76</v>
      </c>
    </row>
    <row r="725" spans="10:23" x14ac:dyDescent="0.3">
      <c r="J725">
        <v>862</v>
      </c>
      <c r="K725">
        <v>1</v>
      </c>
      <c r="U725" t="s">
        <v>812</v>
      </c>
      <c r="V725" t="s">
        <v>324</v>
      </c>
      <c r="W725" s="1">
        <v>76</v>
      </c>
    </row>
    <row r="726" spans="10:23" x14ac:dyDescent="0.3">
      <c r="J726">
        <v>854</v>
      </c>
      <c r="K726">
        <v>1</v>
      </c>
      <c r="U726" t="s">
        <v>813</v>
      </c>
      <c r="V726" t="s">
        <v>246</v>
      </c>
      <c r="W726" s="1">
        <v>77</v>
      </c>
    </row>
    <row r="727" spans="10:23" x14ac:dyDescent="0.3">
      <c r="J727">
        <v>849</v>
      </c>
      <c r="K727">
        <v>1</v>
      </c>
      <c r="U727" t="s">
        <v>814</v>
      </c>
      <c r="V727" t="s">
        <v>168</v>
      </c>
      <c r="W727" s="1">
        <v>77</v>
      </c>
    </row>
    <row r="728" spans="10:23" x14ac:dyDescent="0.3">
      <c r="J728">
        <v>848</v>
      </c>
      <c r="K728">
        <v>1</v>
      </c>
      <c r="U728" t="s">
        <v>815</v>
      </c>
      <c r="V728" t="s">
        <v>11</v>
      </c>
      <c r="W728" s="1">
        <v>77</v>
      </c>
    </row>
    <row r="729" spans="10:23" x14ac:dyDescent="0.3">
      <c r="J729">
        <v>846</v>
      </c>
      <c r="K729">
        <v>1</v>
      </c>
      <c r="U729" t="s">
        <v>816</v>
      </c>
      <c r="V729" t="s">
        <v>171</v>
      </c>
      <c r="W729" s="1">
        <v>77</v>
      </c>
    </row>
    <row r="730" spans="10:23" x14ac:dyDescent="0.3">
      <c r="J730">
        <v>845</v>
      </c>
      <c r="K730">
        <v>1</v>
      </c>
      <c r="U730" t="s">
        <v>817</v>
      </c>
      <c r="V730" t="s">
        <v>818</v>
      </c>
      <c r="W730" s="1">
        <v>77</v>
      </c>
    </row>
    <row r="731" spans="10:23" x14ac:dyDescent="0.3">
      <c r="J731">
        <v>840</v>
      </c>
      <c r="K731">
        <v>1</v>
      </c>
      <c r="U731" t="s">
        <v>819</v>
      </c>
      <c r="V731" t="s">
        <v>39</v>
      </c>
      <c r="W731" s="1">
        <v>77</v>
      </c>
    </row>
    <row r="732" spans="10:23" x14ac:dyDescent="0.3">
      <c r="J732">
        <v>837</v>
      </c>
      <c r="K732">
        <v>1</v>
      </c>
      <c r="U732" t="s">
        <v>820</v>
      </c>
      <c r="V732" t="s">
        <v>101</v>
      </c>
      <c r="W732" s="1">
        <v>77</v>
      </c>
    </row>
    <row r="733" spans="10:23" x14ac:dyDescent="0.3">
      <c r="J733">
        <v>835</v>
      </c>
      <c r="K733">
        <v>1</v>
      </c>
      <c r="U733" t="s">
        <v>821</v>
      </c>
      <c r="V733" t="s">
        <v>171</v>
      </c>
      <c r="W733" s="1">
        <v>77</v>
      </c>
    </row>
    <row r="734" spans="10:23" x14ac:dyDescent="0.3">
      <c r="J734">
        <v>832</v>
      </c>
      <c r="K734">
        <v>1</v>
      </c>
      <c r="U734" t="s">
        <v>822</v>
      </c>
      <c r="V734" t="s">
        <v>257</v>
      </c>
      <c r="W734" s="1">
        <v>77</v>
      </c>
    </row>
    <row r="735" spans="10:23" x14ac:dyDescent="0.3">
      <c r="J735">
        <v>829</v>
      </c>
      <c r="K735">
        <v>1</v>
      </c>
      <c r="U735" t="s">
        <v>823</v>
      </c>
      <c r="V735" t="s">
        <v>114</v>
      </c>
      <c r="W735" s="1">
        <v>77</v>
      </c>
    </row>
    <row r="736" spans="10:23" x14ac:dyDescent="0.3">
      <c r="J736">
        <v>823</v>
      </c>
      <c r="K736">
        <v>1</v>
      </c>
      <c r="U736" t="s">
        <v>824</v>
      </c>
      <c r="V736" t="s">
        <v>77</v>
      </c>
      <c r="W736" s="1">
        <v>77</v>
      </c>
    </row>
    <row r="737" spans="10:23" x14ac:dyDescent="0.3">
      <c r="J737">
        <v>821</v>
      </c>
      <c r="K737">
        <v>1</v>
      </c>
      <c r="U737" t="s">
        <v>825</v>
      </c>
      <c r="V737" t="s">
        <v>244</v>
      </c>
      <c r="W737" s="1">
        <v>77</v>
      </c>
    </row>
    <row r="738" spans="10:23" x14ac:dyDescent="0.3">
      <c r="J738">
        <v>819</v>
      </c>
      <c r="K738">
        <v>1</v>
      </c>
      <c r="U738" t="s">
        <v>826</v>
      </c>
      <c r="V738" t="s">
        <v>75</v>
      </c>
      <c r="W738" s="1">
        <v>77</v>
      </c>
    </row>
    <row r="739" spans="10:23" x14ac:dyDescent="0.3">
      <c r="J739">
        <v>814</v>
      </c>
      <c r="K739">
        <v>1</v>
      </c>
      <c r="U739" t="s">
        <v>827</v>
      </c>
      <c r="V739" t="s">
        <v>354</v>
      </c>
      <c r="W739" s="1">
        <v>77</v>
      </c>
    </row>
    <row r="740" spans="10:23" x14ac:dyDescent="0.3">
      <c r="J740">
        <v>813</v>
      </c>
      <c r="K740">
        <v>1</v>
      </c>
      <c r="U740" t="s">
        <v>828</v>
      </c>
      <c r="V740" t="s">
        <v>114</v>
      </c>
      <c r="W740" s="1">
        <v>77</v>
      </c>
    </row>
    <row r="741" spans="10:23" x14ac:dyDescent="0.3">
      <c r="J741">
        <v>811</v>
      </c>
      <c r="K741">
        <v>1</v>
      </c>
      <c r="U741" t="s">
        <v>829</v>
      </c>
      <c r="V741" t="s">
        <v>23</v>
      </c>
      <c r="W741" s="1">
        <v>77</v>
      </c>
    </row>
    <row r="742" spans="10:23" x14ac:dyDescent="0.3">
      <c r="J742">
        <v>810</v>
      </c>
      <c r="K742">
        <v>1</v>
      </c>
      <c r="U742" t="s">
        <v>830</v>
      </c>
      <c r="V742" t="s">
        <v>127</v>
      </c>
      <c r="W742" s="1">
        <v>78</v>
      </c>
    </row>
    <row r="743" spans="10:23" x14ac:dyDescent="0.3">
      <c r="J743">
        <v>809</v>
      </c>
      <c r="K743">
        <v>1</v>
      </c>
      <c r="U743" t="s">
        <v>831</v>
      </c>
      <c r="V743" t="s">
        <v>832</v>
      </c>
      <c r="W743" s="1">
        <v>78</v>
      </c>
    </row>
    <row r="744" spans="10:23" x14ac:dyDescent="0.3">
      <c r="J744">
        <v>808</v>
      </c>
      <c r="K744">
        <v>1</v>
      </c>
      <c r="U744" t="s">
        <v>833</v>
      </c>
      <c r="V744" t="s">
        <v>97</v>
      </c>
      <c r="W744" s="1">
        <v>78</v>
      </c>
    </row>
    <row r="745" spans="10:23" x14ac:dyDescent="0.3">
      <c r="J745">
        <v>806</v>
      </c>
      <c r="K745">
        <v>1</v>
      </c>
      <c r="U745" t="s">
        <v>834</v>
      </c>
      <c r="V745" t="s">
        <v>127</v>
      </c>
      <c r="W745" s="1">
        <v>78</v>
      </c>
    </row>
    <row r="746" spans="10:23" x14ac:dyDescent="0.3">
      <c r="J746">
        <v>805</v>
      </c>
      <c r="K746">
        <v>1</v>
      </c>
      <c r="U746" t="s">
        <v>835</v>
      </c>
      <c r="V746" t="s">
        <v>240</v>
      </c>
      <c r="W746" s="1">
        <v>78</v>
      </c>
    </row>
    <row r="747" spans="10:23" x14ac:dyDescent="0.3">
      <c r="J747">
        <v>804</v>
      </c>
      <c r="K747">
        <v>1</v>
      </c>
      <c r="U747" t="s">
        <v>836</v>
      </c>
      <c r="V747" t="s">
        <v>324</v>
      </c>
      <c r="W747" s="1">
        <v>78</v>
      </c>
    </row>
    <row r="748" spans="10:23" x14ac:dyDescent="0.3">
      <c r="J748">
        <v>795</v>
      </c>
      <c r="K748">
        <v>1</v>
      </c>
      <c r="U748" t="s">
        <v>837</v>
      </c>
      <c r="V748" t="s">
        <v>127</v>
      </c>
      <c r="W748" s="1">
        <v>78</v>
      </c>
    </row>
    <row r="749" spans="10:23" x14ac:dyDescent="0.3">
      <c r="J749">
        <v>791</v>
      </c>
      <c r="K749">
        <v>1</v>
      </c>
      <c r="U749" t="s">
        <v>838</v>
      </c>
      <c r="V749" t="s">
        <v>515</v>
      </c>
      <c r="W749" s="1">
        <v>78</v>
      </c>
    </row>
    <row r="750" spans="10:23" x14ac:dyDescent="0.3">
      <c r="J750">
        <v>790</v>
      </c>
      <c r="K750">
        <v>1</v>
      </c>
      <c r="U750" t="s">
        <v>839</v>
      </c>
      <c r="V750" t="s">
        <v>612</v>
      </c>
      <c r="W750" s="1">
        <v>78</v>
      </c>
    </row>
    <row r="751" spans="10:23" x14ac:dyDescent="0.3">
      <c r="J751">
        <v>784</v>
      </c>
      <c r="K751">
        <v>1</v>
      </c>
      <c r="U751" t="s">
        <v>840</v>
      </c>
      <c r="V751" t="s">
        <v>23</v>
      </c>
      <c r="W751" s="1">
        <v>79</v>
      </c>
    </row>
    <row r="752" spans="10:23" x14ac:dyDescent="0.3">
      <c r="J752">
        <v>780</v>
      </c>
      <c r="K752">
        <v>1</v>
      </c>
      <c r="U752" t="s">
        <v>841</v>
      </c>
      <c r="V752" t="s">
        <v>842</v>
      </c>
      <c r="W752" s="1">
        <v>79</v>
      </c>
    </row>
    <row r="753" spans="10:23" x14ac:dyDescent="0.3">
      <c r="J753">
        <v>779</v>
      </c>
      <c r="K753">
        <v>1</v>
      </c>
      <c r="U753" t="s">
        <v>843</v>
      </c>
      <c r="V753" t="s">
        <v>171</v>
      </c>
      <c r="W753" s="1">
        <v>79</v>
      </c>
    </row>
    <row r="754" spans="10:23" x14ac:dyDescent="0.3">
      <c r="J754">
        <v>774</v>
      </c>
      <c r="K754">
        <v>1</v>
      </c>
      <c r="U754" t="s">
        <v>844</v>
      </c>
      <c r="V754" t="s">
        <v>257</v>
      </c>
      <c r="W754" s="1">
        <v>79</v>
      </c>
    </row>
    <row r="755" spans="10:23" x14ac:dyDescent="0.3">
      <c r="J755">
        <v>772</v>
      </c>
      <c r="K755">
        <v>1</v>
      </c>
      <c r="U755" t="s">
        <v>845</v>
      </c>
      <c r="V755" t="s">
        <v>140</v>
      </c>
      <c r="W755" s="1">
        <v>79</v>
      </c>
    </row>
    <row r="756" spans="10:23" x14ac:dyDescent="0.3">
      <c r="J756">
        <v>769</v>
      </c>
      <c r="K756">
        <v>1</v>
      </c>
      <c r="U756" t="s">
        <v>846</v>
      </c>
      <c r="V756" t="s">
        <v>127</v>
      </c>
      <c r="W756" s="1">
        <v>79</v>
      </c>
    </row>
    <row r="757" spans="10:23" x14ac:dyDescent="0.3">
      <c r="J757">
        <v>768</v>
      </c>
      <c r="K757">
        <v>1</v>
      </c>
      <c r="U757" t="s">
        <v>847</v>
      </c>
      <c r="V757" t="s">
        <v>114</v>
      </c>
      <c r="W757" s="1">
        <v>79</v>
      </c>
    </row>
    <row r="758" spans="10:23" x14ac:dyDescent="0.3">
      <c r="J758">
        <v>766</v>
      </c>
      <c r="K758">
        <v>1</v>
      </c>
      <c r="U758" t="s">
        <v>848</v>
      </c>
      <c r="V758" t="s">
        <v>63</v>
      </c>
      <c r="W758" s="1">
        <v>79</v>
      </c>
    </row>
    <row r="759" spans="10:23" x14ac:dyDescent="0.3">
      <c r="J759">
        <v>764</v>
      </c>
      <c r="K759">
        <v>1</v>
      </c>
      <c r="U759" t="s">
        <v>849</v>
      </c>
      <c r="V759" t="s">
        <v>240</v>
      </c>
      <c r="W759" s="1">
        <v>79</v>
      </c>
    </row>
    <row r="760" spans="10:23" x14ac:dyDescent="0.3">
      <c r="J760">
        <v>763</v>
      </c>
      <c r="K760">
        <v>1</v>
      </c>
      <c r="U760" t="s">
        <v>850</v>
      </c>
      <c r="V760" t="s">
        <v>354</v>
      </c>
      <c r="W760" s="1">
        <v>79</v>
      </c>
    </row>
    <row r="761" spans="10:23" x14ac:dyDescent="0.3">
      <c r="J761">
        <v>761</v>
      </c>
      <c r="K761">
        <v>1</v>
      </c>
      <c r="U761" t="s">
        <v>851</v>
      </c>
      <c r="V761" t="s">
        <v>772</v>
      </c>
      <c r="W761" s="1">
        <v>79</v>
      </c>
    </row>
    <row r="762" spans="10:23" x14ac:dyDescent="0.3">
      <c r="J762">
        <v>759</v>
      </c>
      <c r="K762">
        <v>1</v>
      </c>
      <c r="U762" t="s">
        <v>852</v>
      </c>
      <c r="V762" t="s">
        <v>310</v>
      </c>
      <c r="W762" s="1">
        <v>79</v>
      </c>
    </row>
    <row r="763" spans="10:23" x14ac:dyDescent="0.3">
      <c r="J763">
        <v>756</v>
      </c>
      <c r="K763">
        <v>1</v>
      </c>
      <c r="U763" t="s">
        <v>853</v>
      </c>
      <c r="V763" t="s">
        <v>842</v>
      </c>
      <c r="W763" s="1">
        <v>79</v>
      </c>
    </row>
    <row r="764" spans="10:23" x14ac:dyDescent="0.3">
      <c r="J764">
        <v>755</v>
      </c>
      <c r="K764">
        <v>1</v>
      </c>
      <c r="U764" t="s">
        <v>854</v>
      </c>
      <c r="V764" t="s">
        <v>612</v>
      </c>
      <c r="W764" s="1">
        <v>79</v>
      </c>
    </row>
    <row r="765" spans="10:23" x14ac:dyDescent="0.3">
      <c r="J765">
        <v>752</v>
      </c>
      <c r="K765">
        <v>1</v>
      </c>
      <c r="U765" t="s">
        <v>855</v>
      </c>
      <c r="V765" t="s">
        <v>508</v>
      </c>
      <c r="W765" s="1">
        <v>79</v>
      </c>
    </row>
    <row r="766" spans="10:23" x14ac:dyDescent="0.3">
      <c r="J766">
        <v>746</v>
      </c>
      <c r="K766">
        <v>1</v>
      </c>
      <c r="U766" t="s">
        <v>856</v>
      </c>
      <c r="V766" t="s">
        <v>842</v>
      </c>
      <c r="W766" s="1">
        <v>79</v>
      </c>
    </row>
    <row r="767" spans="10:23" x14ac:dyDescent="0.3">
      <c r="J767">
        <v>743</v>
      </c>
      <c r="K767">
        <v>1</v>
      </c>
      <c r="U767" t="s">
        <v>857</v>
      </c>
      <c r="V767" t="s">
        <v>842</v>
      </c>
      <c r="W767" s="1">
        <v>79</v>
      </c>
    </row>
    <row r="768" spans="10:23" x14ac:dyDescent="0.3">
      <c r="J768">
        <v>740</v>
      </c>
      <c r="K768">
        <v>1</v>
      </c>
      <c r="U768" t="s">
        <v>858</v>
      </c>
      <c r="V768" t="s">
        <v>80</v>
      </c>
      <c r="W768" s="1">
        <v>794</v>
      </c>
    </row>
    <row r="769" spans="10:23" x14ac:dyDescent="0.3">
      <c r="J769">
        <v>738</v>
      </c>
      <c r="K769">
        <v>1</v>
      </c>
      <c r="U769" t="s">
        <v>859</v>
      </c>
      <c r="V769" t="s">
        <v>29</v>
      </c>
      <c r="W769" s="1">
        <v>80</v>
      </c>
    </row>
    <row r="770" spans="10:23" x14ac:dyDescent="0.3">
      <c r="J770">
        <v>737</v>
      </c>
      <c r="K770">
        <v>1</v>
      </c>
      <c r="U770" t="s">
        <v>860</v>
      </c>
      <c r="V770" t="s">
        <v>168</v>
      </c>
      <c r="W770" s="1">
        <v>80</v>
      </c>
    </row>
    <row r="771" spans="10:23" x14ac:dyDescent="0.3">
      <c r="J771">
        <v>736</v>
      </c>
      <c r="K771">
        <v>1</v>
      </c>
      <c r="U771" t="s">
        <v>861</v>
      </c>
      <c r="V771" t="s">
        <v>310</v>
      </c>
      <c r="W771" s="1">
        <v>80</v>
      </c>
    </row>
    <row r="772" spans="10:23" x14ac:dyDescent="0.3">
      <c r="J772">
        <v>735</v>
      </c>
      <c r="K772">
        <v>1</v>
      </c>
      <c r="U772" t="s">
        <v>862</v>
      </c>
      <c r="V772" t="s">
        <v>182</v>
      </c>
      <c r="W772" s="1">
        <v>80</v>
      </c>
    </row>
    <row r="773" spans="10:23" x14ac:dyDescent="0.3">
      <c r="J773">
        <v>733</v>
      </c>
      <c r="K773">
        <v>1</v>
      </c>
      <c r="U773" t="s">
        <v>863</v>
      </c>
      <c r="V773" t="s">
        <v>146</v>
      </c>
      <c r="W773" s="1">
        <v>80</v>
      </c>
    </row>
    <row r="774" spans="10:23" x14ac:dyDescent="0.3">
      <c r="J774">
        <v>732</v>
      </c>
      <c r="K774">
        <v>1</v>
      </c>
      <c r="U774" t="s">
        <v>864</v>
      </c>
      <c r="V774" t="s">
        <v>45</v>
      </c>
      <c r="W774" s="1">
        <v>80</v>
      </c>
    </row>
    <row r="775" spans="10:23" x14ac:dyDescent="0.3">
      <c r="J775">
        <v>727</v>
      </c>
      <c r="K775">
        <v>1</v>
      </c>
      <c r="U775" t="s">
        <v>865</v>
      </c>
      <c r="V775" t="s">
        <v>127</v>
      </c>
      <c r="W775" s="1">
        <v>80</v>
      </c>
    </row>
    <row r="776" spans="10:23" x14ac:dyDescent="0.3">
      <c r="J776">
        <v>726</v>
      </c>
      <c r="K776">
        <v>1</v>
      </c>
      <c r="U776" t="s">
        <v>866</v>
      </c>
      <c r="V776" t="s">
        <v>73</v>
      </c>
      <c r="W776" s="1">
        <v>80</v>
      </c>
    </row>
    <row r="777" spans="10:23" x14ac:dyDescent="0.3">
      <c r="J777">
        <v>721</v>
      </c>
      <c r="K777">
        <v>1</v>
      </c>
      <c r="U777" t="s">
        <v>867</v>
      </c>
      <c r="V777" t="s">
        <v>203</v>
      </c>
      <c r="W777" s="1">
        <v>80</v>
      </c>
    </row>
    <row r="778" spans="10:23" x14ac:dyDescent="0.3">
      <c r="J778">
        <v>718</v>
      </c>
      <c r="K778">
        <v>1</v>
      </c>
      <c r="U778" t="s">
        <v>868</v>
      </c>
      <c r="V778" t="s">
        <v>158</v>
      </c>
      <c r="W778" s="1">
        <v>80</v>
      </c>
    </row>
    <row r="779" spans="10:23" x14ac:dyDescent="0.3">
      <c r="J779">
        <v>716</v>
      </c>
      <c r="K779">
        <v>1</v>
      </c>
      <c r="U779" t="s">
        <v>869</v>
      </c>
      <c r="V779" t="s">
        <v>11</v>
      </c>
      <c r="W779" s="1">
        <v>80</v>
      </c>
    </row>
    <row r="780" spans="10:23" x14ac:dyDescent="0.3">
      <c r="J780">
        <v>715</v>
      </c>
      <c r="K780">
        <v>1</v>
      </c>
      <c r="U780" t="s">
        <v>870</v>
      </c>
      <c r="V780" t="s">
        <v>39</v>
      </c>
      <c r="W780" s="1">
        <v>80</v>
      </c>
    </row>
    <row r="781" spans="10:23" x14ac:dyDescent="0.3">
      <c r="J781">
        <v>714</v>
      </c>
      <c r="K781">
        <v>1</v>
      </c>
      <c r="U781" t="s">
        <v>871</v>
      </c>
      <c r="V781" t="s">
        <v>612</v>
      </c>
      <c r="W781" s="1">
        <v>80</v>
      </c>
    </row>
    <row r="782" spans="10:23" x14ac:dyDescent="0.3">
      <c r="J782">
        <v>7753</v>
      </c>
      <c r="K782">
        <v>1</v>
      </c>
      <c r="U782" t="s">
        <v>872</v>
      </c>
      <c r="V782" t="s">
        <v>73</v>
      </c>
      <c r="W782" s="1">
        <v>80</v>
      </c>
    </row>
    <row r="783" spans="10:23" x14ac:dyDescent="0.3">
      <c r="J783">
        <v>7700</v>
      </c>
      <c r="K783">
        <v>1</v>
      </c>
      <c r="U783" t="s">
        <v>873</v>
      </c>
      <c r="V783" t="s">
        <v>11</v>
      </c>
      <c r="W783" s="1">
        <v>80</v>
      </c>
    </row>
    <row r="784" spans="10:23" x14ac:dyDescent="0.3">
      <c r="J784">
        <v>698</v>
      </c>
      <c r="K784">
        <v>1</v>
      </c>
      <c r="U784" t="s">
        <v>874</v>
      </c>
      <c r="V784" t="s">
        <v>77</v>
      </c>
      <c r="W784" s="1">
        <v>80</v>
      </c>
    </row>
    <row r="785" spans="10:23" x14ac:dyDescent="0.3">
      <c r="J785">
        <v>697</v>
      </c>
      <c r="K785">
        <v>1</v>
      </c>
      <c r="U785" t="s">
        <v>875</v>
      </c>
      <c r="V785" t="s">
        <v>114</v>
      </c>
      <c r="W785" s="1">
        <v>80</v>
      </c>
    </row>
    <row r="786" spans="10:23" x14ac:dyDescent="0.3">
      <c r="J786">
        <v>690</v>
      </c>
      <c r="K786">
        <v>1</v>
      </c>
      <c r="U786" t="s">
        <v>876</v>
      </c>
      <c r="V786" t="s">
        <v>73</v>
      </c>
      <c r="W786" s="1">
        <v>80</v>
      </c>
    </row>
    <row r="787" spans="10:23" x14ac:dyDescent="0.3">
      <c r="J787">
        <v>689</v>
      </c>
      <c r="K787">
        <v>1</v>
      </c>
      <c r="U787" t="s">
        <v>877</v>
      </c>
      <c r="V787" t="s">
        <v>324</v>
      </c>
      <c r="W787" s="1">
        <v>80</v>
      </c>
    </row>
    <row r="788" spans="10:23" x14ac:dyDescent="0.3">
      <c r="J788">
        <v>687</v>
      </c>
      <c r="K788">
        <v>1</v>
      </c>
      <c r="U788" t="s">
        <v>878</v>
      </c>
      <c r="V788" t="s">
        <v>324</v>
      </c>
      <c r="W788" s="1">
        <v>80</v>
      </c>
    </row>
    <row r="789" spans="10:23" x14ac:dyDescent="0.3">
      <c r="J789">
        <v>685</v>
      </c>
      <c r="K789">
        <v>1</v>
      </c>
      <c r="U789" t="s">
        <v>879</v>
      </c>
      <c r="V789" t="s">
        <v>487</v>
      </c>
      <c r="W789" s="1">
        <v>80</v>
      </c>
    </row>
    <row r="790" spans="10:23" x14ac:dyDescent="0.3">
      <c r="J790">
        <v>684</v>
      </c>
      <c r="K790">
        <v>1</v>
      </c>
      <c r="U790" t="s">
        <v>880</v>
      </c>
      <c r="V790" t="s">
        <v>73</v>
      </c>
      <c r="W790" s="1">
        <v>80</v>
      </c>
    </row>
    <row r="791" spans="10:23" x14ac:dyDescent="0.3">
      <c r="J791">
        <v>683</v>
      </c>
      <c r="K791">
        <v>1</v>
      </c>
      <c r="U791" t="s">
        <v>881</v>
      </c>
      <c r="V791" t="s">
        <v>73</v>
      </c>
      <c r="W791" s="1">
        <v>80</v>
      </c>
    </row>
    <row r="792" spans="10:23" x14ac:dyDescent="0.3">
      <c r="J792">
        <v>678</v>
      </c>
      <c r="K792">
        <v>1</v>
      </c>
      <c r="U792" t="s">
        <v>882</v>
      </c>
      <c r="V792" t="s">
        <v>77</v>
      </c>
      <c r="W792" s="1">
        <v>80</v>
      </c>
    </row>
    <row r="793" spans="10:23" x14ac:dyDescent="0.3">
      <c r="J793">
        <v>677</v>
      </c>
      <c r="K793">
        <v>1</v>
      </c>
      <c r="U793" t="s">
        <v>883</v>
      </c>
      <c r="V793" t="s">
        <v>158</v>
      </c>
      <c r="W793" s="1">
        <v>80</v>
      </c>
    </row>
    <row r="794" spans="10:23" x14ac:dyDescent="0.3">
      <c r="J794">
        <v>663</v>
      </c>
      <c r="K794">
        <v>1</v>
      </c>
      <c r="U794" t="s">
        <v>884</v>
      </c>
      <c r="V794" t="s">
        <v>15</v>
      </c>
      <c r="W794" s="1">
        <v>808</v>
      </c>
    </row>
    <row r="795" spans="10:23" x14ac:dyDescent="0.3">
      <c r="J795">
        <v>662</v>
      </c>
      <c r="K795">
        <v>1</v>
      </c>
      <c r="U795" t="s">
        <v>885</v>
      </c>
      <c r="V795" t="s">
        <v>63</v>
      </c>
      <c r="W795" s="1">
        <v>81</v>
      </c>
    </row>
    <row r="796" spans="10:23" x14ac:dyDescent="0.3">
      <c r="J796">
        <v>659</v>
      </c>
      <c r="K796">
        <v>1</v>
      </c>
      <c r="U796" t="s">
        <v>886</v>
      </c>
      <c r="V796" t="s">
        <v>559</v>
      </c>
      <c r="W796" s="1">
        <v>81</v>
      </c>
    </row>
    <row r="797" spans="10:23" x14ac:dyDescent="0.3">
      <c r="J797">
        <v>655</v>
      </c>
      <c r="K797">
        <v>1</v>
      </c>
      <c r="U797" t="s">
        <v>887</v>
      </c>
      <c r="V797" t="s">
        <v>559</v>
      </c>
      <c r="W797" s="1">
        <v>81</v>
      </c>
    </row>
    <row r="798" spans="10:23" x14ac:dyDescent="0.3">
      <c r="J798">
        <v>653</v>
      </c>
      <c r="K798">
        <v>1</v>
      </c>
      <c r="U798" t="s">
        <v>888</v>
      </c>
      <c r="V798" t="s">
        <v>73</v>
      </c>
      <c r="W798" s="1">
        <v>81</v>
      </c>
    </row>
    <row r="799" spans="10:23" x14ac:dyDescent="0.3">
      <c r="J799">
        <v>652</v>
      </c>
      <c r="K799">
        <v>1</v>
      </c>
      <c r="U799" t="s">
        <v>889</v>
      </c>
      <c r="V799" t="s">
        <v>45</v>
      </c>
      <c r="W799" s="1">
        <v>81</v>
      </c>
    </row>
    <row r="800" spans="10:23" x14ac:dyDescent="0.3">
      <c r="J800">
        <v>647</v>
      </c>
      <c r="K800">
        <v>1</v>
      </c>
      <c r="U800" t="s">
        <v>890</v>
      </c>
      <c r="V800" t="s">
        <v>29</v>
      </c>
      <c r="W800" s="1">
        <v>81</v>
      </c>
    </row>
    <row r="801" spans="10:23" x14ac:dyDescent="0.3">
      <c r="J801">
        <v>644</v>
      </c>
      <c r="K801">
        <v>1</v>
      </c>
      <c r="U801" t="s">
        <v>891</v>
      </c>
      <c r="V801" t="s">
        <v>892</v>
      </c>
      <c r="W801" s="1">
        <v>81</v>
      </c>
    </row>
    <row r="802" spans="10:23" x14ac:dyDescent="0.3">
      <c r="J802">
        <v>642</v>
      </c>
      <c r="K802">
        <v>1</v>
      </c>
      <c r="U802" t="s">
        <v>893</v>
      </c>
      <c r="V802" t="s">
        <v>29</v>
      </c>
      <c r="W802" s="1">
        <v>81</v>
      </c>
    </row>
    <row r="803" spans="10:23" x14ac:dyDescent="0.3">
      <c r="J803">
        <v>641</v>
      </c>
      <c r="K803">
        <v>1</v>
      </c>
      <c r="U803" t="s">
        <v>894</v>
      </c>
      <c r="V803" t="s">
        <v>77</v>
      </c>
      <c r="W803" s="1">
        <v>81</v>
      </c>
    </row>
    <row r="804" spans="10:23" x14ac:dyDescent="0.3">
      <c r="J804">
        <v>635</v>
      </c>
      <c r="K804">
        <v>1</v>
      </c>
      <c r="U804" t="s">
        <v>895</v>
      </c>
      <c r="V804" t="s">
        <v>168</v>
      </c>
      <c r="W804" s="1">
        <v>81</v>
      </c>
    </row>
    <row r="805" spans="10:23" x14ac:dyDescent="0.3">
      <c r="J805">
        <v>632</v>
      </c>
      <c r="K805">
        <v>1</v>
      </c>
      <c r="U805" t="s">
        <v>896</v>
      </c>
      <c r="V805" t="s">
        <v>501</v>
      </c>
      <c r="W805" s="1">
        <v>81</v>
      </c>
    </row>
    <row r="806" spans="10:23" x14ac:dyDescent="0.3">
      <c r="J806">
        <v>627</v>
      </c>
      <c r="K806">
        <v>1</v>
      </c>
      <c r="U806" t="s">
        <v>897</v>
      </c>
      <c r="V806" t="s">
        <v>415</v>
      </c>
      <c r="W806" s="1">
        <v>81</v>
      </c>
    </row>
    <row r="807" spans="10:23" x14ac:dyDescent="0.3">
      <c r="J807">
        <v>624</v>
      </c>
      <c r="K807">
        <v>1</v>
      </c>
      <c r="U807" t="s">
        <v>898</v>
      </c>
      <c r="V807" t="s">
        <v>899</v>
      </c>
      <c r="W807" s="1">
        <v>81</v>
      </c>
    </row>
    <row r="808" spans="10:23" x14ac:dyDescent="0.3">
      <c r="J808">
        <v>622</v>
      </c>
      <c r="K808">
        <v>1</v>
      </c>
      <c r="U808" t="s">
        <v>900</v>
      </c>
      <c r="V808" t="s">
        <v>310</v>
      </c>
      <c r="W808" s="1">
        <v>81</v>
      </c>
    </row>
    <row r="809" spans="10:23" x14ac:dyDescent="0.3">
      <c r="J809">
        <v>615</v>
      </c>
      <c r="K809">
        <v>1</v>
      </c>
      <c r="U809" t="s">
        <v>901</v>
      </c>
      <c r="V809" t="s">
        <v>902</v>
      </c>
      <c r="W809" s="1">
        <v>81</v>
      </c>
    </row>
    <row r="810" spans="10:23" x14ac:dyDescent="0.3">
      <c r="J810">
        <v>614</v>
      </c>
      <c r="K810">
        <v>1</v>
      </c>
      <c r="U810" t="s">
        <v>903</v>
      </c>
      <c r="V810" t="s">
        <v>77</v>
      </c>
      <c r="W810" s="1">
        <v>81</v>
      </c>
    </row>
    <row r="811" spans="10:23" x14ac:dyDescent="0.3">
      <c r="J811">
        <v>613</v>
      </c>
      <c r="K811">
        <v>1</v>
      </c>
      <c r="U811" t="s">
        <v>904</v>
      </c>
      <c r="V811" t="s">
        <v>63</v>
      </c>
      <c r="W811" s="1">
        <v>82</v>
      </c>
    </row>
    <row r="812" spans="10:23" x14ac:dyDescent="0.3">
      <c r="J812">
        <v>610</v>
      </c>
      <c r="K812">
        <v>1</v>
      </c>
      <c r="U812" t="s">
        <v>905</v>
      </c>
      <c r="V812" t="s">
        <v>114</v>
      </c>
      <c r="W812" s="1">
        <v>82</v>
      </c>
    </row>
    <row r="813" spans="10:23" x14ac:dyDescent="0.3">
      <c r="J813">
        <v>593</v>
      </c>
      <c r="K813">
        <v>1</v>
      </c>
      <c r="U813" t="s">
        <v>906</v>
      </c>
      <c r="V813" t="s">
        <v>90</v>
      </c>
      <c r="W813" s="1">
        <v>82</v>
      </c>
    </row>
    <row r="814" spans="10:23" x14ac:dyDescent="0.3">
      <c r="J814">
        <v>592</v>
      </c>
      <c r="K814">
        <v>1</v>
      </c>
      <c r="U814" t="s">
        <v>907</v>
      </c>
      <c r="V814" t="s">
        <v>17</v>
      </c>
      <c r="W814" s="1">
        <v>82</v>
      </c>
    </row>
    <row r="815" spans="10:23" x14ac:dyDescent="0.3">
      <c r="J815">
        <v>590</v>
      </c>
      <c r="K815">
        <v>1</v>
      </c>
      <c r="U815" t="s">
        <v>908</v>
      </c>
      <c r="V815" t="s">
        <v>23</v>
      </c>
      <c r="W815" s="1">
        <v>82</v>
      </c>
    </row>
    <row r="816" spans="10:23" x14ac:dyDescent="0.3">
      <c r="J816">
        <v>586</v>
      </c>
      <c r="K816">
        <v>1</v>
      </c>
      <c r="U816" t="s">
        <v>909</v>
      </c>
      <c r="V816" t="s">
        <v>127</v>
      </c>
      <c r="W816" s="1">
        <v>82</v>
      </c>
    </row>
    <row r="817" spans="10:23" x14ac:dyDescent="0.3">
      <c r="J817">
        <v>582</v>
      </c>
      <c r="K817">
        <v>1</v>
      </c>
      <c r="U817" t="s">
        <v>910</v>
      </c>
      <c r="V817" t="s">
        <v>45</v>
      </c>
      <c r="W817" s="1">
        <v>82</v>
      </c>
    </row>
    <row r="818" spans="10:23" x14ac:dyDescent="0.3">
      <c r="J818">
        <v>581</v>
      </c>
      <c r="K818">
        <v>1</v>
      </c>
      <c r="U818" t="s">
        <v>911</v>
      </c>
      <c r="V818" t="s">
        <v>127</v>
      </c>
      <c r="W818" s="1">
        <v>82</v>
      </c>
    </row>
    <row r="819" spans="10:23" x14ac:dyDescent="0.3">
      <c r="J819">
        <v>577</v>
      </c>
      <c r="K819">
        <v>1</v>
      </c>
      <c r="U819" t="s">
        <v>912</v>
      </c>
      <c r="V819" t="s">
        <v>11</v>
      </c>
      <c r="W819" s="1">
        <v>83</v>
      </c>
    </row>
    <row r="820" spans="10:23" x14ac:dyDescent="0.3">
      <c r="J820">
        <v>576</v>
      </c>
      <c r="K820">
        <v>1</v>
      </c>
      <c r="U820" t="s">
        <v>913</v>
      </c>
      <c r="V820" t="s">
        <v>246</v>
      </c>
      <c r="W820" s="1">
        <v>83</v>
      </c>
    </row>
    <row r="821" spans="10:23" x14ac:dyDescent="0.3">
      <c r="J821">
        <v>573</v>
      </c>
      <c r="K821">
        <v>1</v>
      </c>
      <c r="U821" t="s">
        <v>914</v>
      </c>
      <c r="V821" t="s">
        <v>354</v>
      </c>
      <c r="W821" s="1">
        <v>83</v>
      </c>
    </row>
    <row r="822" spans="10:23" x14ac:dyDescent="0.3">
      <c r="J822">
        <v>57</v>
      </c>
      <c r="K822">
        <v>1</v>
      </c>
      <c r="U822" t="s">
        <v>915</v>
      </c>
      <c r="V822" t="s">
        <v>13</v>
      </c>
      <c r="W822" s="1">
        <v>83</v>
      </c>
    </row>
    <row r="823" spans="10:23" x14ac:dyDescent="0.3">
      <c r="J823">
        <v>567</v>
      </c>
      <c r="K823">
        <v>1</v>
      </c>
      <c r="U823" t="s">
        <v>916</v>
      </c>
      <c r="V823" t="s">
        <v>515</v>
      </c>
      <c r="W823" s="1">
        <v>83</v>
      </c>
    </row>
    <row r="824" spans="10:23" x14ac:dyDescent="0.3">
      <c r="J824">
        <v>562</v>
      </c>
      <c r="K824">
        <v>1</v>
      </c>
      <c r="U824" t="s">
        <v>917</v>
      </c>
      <c r="V824" t="s">
        <v>168</v>
      </c>
      <c r="W824" s="1">
        <v>83</v>
      </c>
    </row>
    <row r="825" spans="10:23" x14ac:dyDescent="0.3">
      <c r="J825">
        <v>561</v>
      </c>
      <c r="K825">
        <v>1</v>
      </c>
      <c r="U825" t="s">
        <v>918</v>
      </c>
      <c r="V825" t="s">
        <v>257</v>
      </c>
      <c r="W825" s="1">
        <v>83</v>
      </c>
    </row>
    <row r="826" spans="10:23" x14ac:dyDescent="0.3">
      <c r="J826">
        <v>545</v>
      </c>
      <c r="K826">
        <v>1</v>
      </c>
      <c r="U826" t="s">
        <v>919</v>
      </c>
      <c r="V826" t="s">
        <v>59</v>
      </c>
      <c r="W826" s="1">
        <v>83</v>
      </c>
    </row>
    <row r="827" spans="10:23" x14ac:dyDescent="0.3">
      <c r="J827">
        <v>52</v>
      </c>
      <c r="K827">
        <v>1</v>
      </c>
      <c r="U827" t="s">
        <v>920</v>
      </c>
      <c r="V827" t="s">
        <v>127</v>
      </c>
      <c r="W827" s="1">
        <v>83</v>
      </c>
    </row>
    <row r="828" spans="10:23" x14ac:dyDescent="0.3">
      <c r="J828">
        <v>519</v>
      </c>
      <c r="K828">
        <v>1</v>
      </c>
      <c r="U828" t="s">
        <v>921</v>
      </c>
      <c r="V828" t="s">
        <v>240</v>
      </c>
      <c r="W828" s="1">
        <v>83</v>
      </c>
    </row>
    <row r="829" spans="10:23" x14ac:dyDescent="0.3">
      <c r="J829">
        <v>517</v>
      </c>
      <c r="K829">
        <v>1</v>
      </c>
      <c r="U829" t="s">
        <v>922</v>
      </c>
      <c r="V829" t="s">
        <v>17</v>
      </c>
      <c r="W829" s="1">
        <v>84</v>
      </c>
    </row>
    <row r="830" spans="10:23" x14ac:dyDescent="0.3">
      <c r="J830">
        <v>509</v>
      </c>
      <c r="K830">
        <v>1</v>
      </c>
      <c r="U830" t="s">
        <v>923</v>
      </c>
      <c r="V830" t="s">
        <v>37</v>
      </c>
      <c r="W830" s="1">
        <v>84</v>
      </c>
    </row>
    <row r="831" spans="10:23" x14ac:dyDescent="0.3">
      <c r="J831">
        <v>50</v>
      </c>
      <c r="K831">
        <v>1</v>
      </c>
      <c r="U831" t="s">
        <v>924</v>
      </c>
      <c r="V831" t="s">
        <v>362</v>
      </c>
      <c r="W831" s="1">
        <v>84</v>
      </c>
    </row>
    <row r="832" spans="10:23" x14ac:dyDescent="0.3">
      <c r="J832">
        <v>5728</v>
      </c>
      <c r="K832">
        <v>1</v>
      </c>
      <c r="U832" t="s">
        <v>925</v>
      </c>
      <c r="V832" t="s">
        <v>23</v>
      </c>
      <c r="W832" s="1">
        <v>84</v>
      </c>
    </row>
    <row r="833" spans="10:23" x14ac:dyDescent="0.3">
      <c r="J833">
        <v>5700</v>
      </c>
      <c r="K833">
        <v>1</v>
      </c>
      <c r="U833" t="s">
        <v>926</v>
      </c>
      <c r="V833" t="s">
        <v>17</v>
      </c>
      <c r="W833" s="1">
        <v>84</v>
      </c>
    </row>
    <row r="834" spans="10:23" x14ac:dyDescent="0.3">
      <c r="J834">
        <v>5622</v>
      </c>
      <c r="K834">
        <v>1</v>
      </c>
      <c r="U834" t="s">
        <v>927</v>
      </c>
      <c r="V834" t="s">
        <v>39</v>
      </c>
      <c r="W834" s="1">
        <v>84</v>
      </c>
    </row>
    <row r="835" spans="10:23" x14ac:dyDescent="0.3">
      <c r="J835">
        <v>5000</v>
      </c>
      <c r="K835">
        <v>1</v>
      </c>
      <c r="U835" t="s">
        <v>928</v>
      </c>
      <c r="V835" t="s">
        <v>182</v>
      </c>
      <c r="W835" s="1">
        <v>84</v>
      </c>
    </row>
    <row r="836" spans="10:23" x14ac:dyDescent="0.3">
      <c r="J836">
        <v>492</v>
      </c>
      <c r="K836">
        <v>1</v>
      </c>
      <c r="U836" t="s">
        <v>929</v>
      </c>
      <c r="V836" t="s">
        <v>127</v>
      </c>
      <c r="W836" s="1">
        <v>85</v>
      </c>
    </row>
    <row r="837" spans="10:23" x14ac:dyDescent="0.3">
      <c r="J837">
        <v>491</v>
      </c>
      <c r="K837">
        <v>1</v>
      </c>
      <c r="U837" t="s">
        <v>930</v>
      </c>
      <c r="V837" t="s">
        <v>158</v>
      </c>
      <c r="W837" s="1">
        <v>85</v>
      </c>
    </row>
    <row r="838" spans="10:23" x14ac:dyDescent="0.3">
      <c r="J838">
        <v>49</v>
      </c>
      <c r="K838">
        <v>1</v>
      </c>
      <c r="U838" t="s">
        <v>931</v>
      </c>
      <c r="V838" t="s">
        <v>354</v>
      </c>
      <c r="W838" s="1">
        <v>85</v>
      </c>
    </row>
    <row r="839" spans="10:23" x14ac:dyDescent="0.3">
      <c r="J839">
        <v>487</v>
      </c>
      <c r="K839">
        <v>1</v>
      </c>
      <c r="U839" t="s">
        <v>932</v>
      </c>
      <c r="V839" t="s">
        <v>324</v>
      </c>
      <c r="W839" s="1">
        <v>85</v>
      </c>
    </row>
    <row r="840" spans="10:23" x14ac:dyDescent="0.3">
      <c r="J840">
        <v>472</v>
      </c>
      <c r="K840">
        <v>1</v>
      </c>
      <c r="U840" t="s">
        <v>933</v>
      </c>
      <c r="V840" t="s">
        <v>612</v>
      </c>
      <c r="W840" s="1">
        <v>85</v>
      </c>
    </row>
    <row r="841" spans="10:23" x14ac:dyDescent="0.3">
      <c r="J841">
        <v>45</v>
      </c>
      <c r="K841">
        <v>1</v>
      </c>
      <c r="U841" t="s">
        <v>934</v>
      </c>
      <c r="V841" t="s">
        <v>127</v>
      </c>
      <c r="W841" s="1">
        <v>85</v>
      </c>
    </row>
    <row r="842" spans="10:23" x14ac:dyDescent="0.3">
      <c r="J842">
        <v>40</v>
      </c>
      <c r="K842">
        <v>1</v>
      </c>
      <c r="U842" t="s">
        <v>935</v>
      </c>
      <c r="V842" t="s">
        <v>354</v>
      </c>
      <c r="W842" s="1">
        <v>85</v>
      </c>
    </row>
    <row r="843" spans="10:23" x14ac:dyDescent="0.3">
      <c r="J843">
        <v>4387</v>
      </c>
      <c r="K843">
        <v>1</v>
      </c>
      <c r="U843" t="s">
        <v>936</v>
      </c>
      <c r="V843" t="s">
        <v>114</v>
      </c>
      <c r="W843" s="1">
        <v>85</v>
      </c>
    </row>
    <row r="844" spans="10:23" x14ac:dyDescent="0.3">
      <c r="J844">
        <v>4115</v>
      </c>
      <c r="K844">
        <v>1</v>
      </c>
      <c r="U844" t="s">
        <v>937</v>
      </c>
      <c r="V844" t="s">
        <v>77</v>
      </c>
      <c r="W844" s="1">
        <v>85</v>
      </c>
    </row>
    <row r="845" spans="10:23" x14ac:dyDescent="0.3">
      <c r="J845">
        <v>4000</v>
      </c>
      <c r="K845">
        <v>1</v>
      </c>
      <c r="U845" t="s">
        <v>938</v>
      </c>
      <c r="V845" t="s">
        <v>114</v>
      </c>
      <c r="W845" s="1">
        <v>85</v>
      </c>
    </row>
    <row r="846" spans="10:23" x14ac:dyDescent="0.3">
      <c r="J846">
        <v>31</v>
      </c>
      <c r="K846">
        <v>1</v>
      </c>
      <c r="U846" t="s">
        <v>939</v>
      </c>
      <c r="V846" t="s">
        <v>29</v>
      </c>
      <c r="W846" s="1">
        <v>85</v>
      </c>
    </row>
    <row r="847" spans="10:23" x14ac:dyDescent="0.3">
      <c r="J847">
        <v>3510</v>
      </c>
      <c r="K847">
        <v>1</v>
      </c>
      <c r="U847" t="s">
        <v>940</v>
      </c>
      <c r="V847" t="s">
        <v>42</v>
      </c>
      <c r="W847" s="1">
        <v>85</v>
      </c>
    </row>
    <row r="848" spans="10:23" x14ac:dyDescent="0.3">
      <c r="J848">
        <v>3318</v>
      </c>
      <c r="K848">
        <v>1</v>
      </c>
      <c r="U848" t="s">
        <v>941</v>
      </c>
      <c r="V848" t="s">
        <v>39</v>
      </c>
      <c r="W848" s="1">
        <v>85</v>
      </c>
    </row>
    <row r="849" spans="10:23" x14ac:dyDescent="0.3">
      <c r="J849">
        <v>3196</v>
      </c>
      <c r="K849">
        <v>1</v>
      </c>
      <c r="U849" t="s">
        <v>942</v>
      </c>
      <c r="V849" t="s">
        <v>257</v>
      </c>
      <c r="W849" s="1">
        <v>85</v>
      </c>
    </row>
    <row r="850" spans="10:23" x14ac:dyDescent="0.3">
      <c r="J850">
        <v>2983</v>
      </c>
      <c r="K850">
        <v>1</v>
      </c>
      <c r="U850" t="s">
        <v>943</v>
      </c>
      <c r="V850" t="s">
        <v>39</v>
      </c>
      <c r="W850" s="1">
        <v>85</v>
      </c>
    </row>
    <row r="851" spans="10:23" x14ac:dyDescent="0.3">
      <c r="J851">
        <v>2950</v>
      </c>
      <c r="K851">
        <v>1</v>
      </c>
      <c r="U851" t="s">
        <v>944</v>
      </c>
      <c r="V851" t="s">
        <v>77</v>
      </c>
      <c r="W851" s="1">
        <v>85</v>
      </c>
    </row>
    <row r="852" spans="10:23" x14ac:dyDescent="0.3">
      <c r="J852">
        <v>2943</v>
      </c>
      <c r="K852">
        <v>1</v>
      </c>
      <c r="U852" t="s">
        <v>945</v>
      </c>
      <c r="V852" t="s">
        <v>42</v>
      </c>
      <c r="W852" s="1">
        <v>85</v>
      </c>
    </row>
    <row r="853" spans="10:23" x14ac:dyDescent="0.3">
      <c r="J853">
        <v>2869</v>
      </c>
      <c r="K853">
        <v>1</v>
      </c>
      <c r="U853" t="s">
        <v>946</v>
      </c>
      <c r="V853" t="s">
        <v>37</v>
      </c>
      <c r="W853" s="1">
        <v>85</v>
      </c>
    </row>
    <row r="854" spans="10:23" x14ac:dyDescent="0.3">
      <c r="J854">
        <v>2865</v>
      </c>
      <c r="K854">
        <v>1</v>
      </c>
      <c r="U854" t="s">
        <v>947</v>
      </c>
      <c r="V854" t="s">
        <v>127</v>
      </c>
      <c r="W854" s="1">
        <v>85</v>
      </c>
    </row>
    <row r="855" spans="10:23" x14ac:dyDescent="0.3">
      <c r="J855">
        <v>2800</v>
      </c>
      <c r="K855">
        <v>1</v>
      </c>
      <c r="U855" t="s">
        <v>948</v>
      </c>
      <c r="V855" t="s">
        <v>71</v>
      </c>
      <c r="W855" s="1">
        <v>852</v>
      </c>
    </row>
    <row r="856" spans="10:23" x14ac:dyDescent="0.3">
      <c r="J856">
        <v>2676</v>
      </c>
      <c r="K856">
        <v>1</v>
      </c>
      <c r="U856" t="s">
        <v>949</v>
      </c>
      <c r="V856" t="s">
        <v>354</v>
      </c>
      <c r="W856" s="1">
        <v>86</v>
      </c>
    </row>
    <row r="857" spans="10:23" x14ac:dyDescent="0.3">
      <c r="J857">
        <v>2653</v>
      </c>
      <c r="K857">
        <v>1</v>
      </c>
      <c r="U857" t="s">
        <v>950</v>
      </c>
      <c r="V857" t="s">
        <v>45</v>
      </c>
      <c r="W857" s="1">
        <v>86</v>
      </c>
    </row>
    <row r="858" spans="10:23" x14ac:dyDescent="0.3">
      <c r="J858">
        <v>2635</v>
      </c>
      <c r="K858">
        <v>1</v>
      </c>
      <c r="U858" t="s">
        <v>951</v>
      </c>
      <c r="V858" t="s">
        <v>232</v>
      </c>
      <c r="W858" s="1">
        <v>86</v>
      </c>
    </row>
    <row r="859" spans="10:23" x14ac:dyDescent="0.3">
      <c r="J859">
        <v>2612</v>
      </c>
      <c r="K859">
        <v>1</v>
      </c>
      <c r="U859" t="s">
        <v>952</v>
      </c>
      <c r="V859" t="s">
        <v>953</v>
      </c>
      <c r="W859" s="1">
        <v>86</v>
      </c>
    </row>
    <row r="860" spans="10:23" x14ac:dyDescent="0.3">
      <c r="J860">
        <v>2595</v>
      </c>
      <c r="K860">
        <v>1</v>
      </c>
      <c r="U860" t="s">
        <v>954</v>
      </c>
      <c r="V860" t="s">
        <v>114</v>
      </c>
      <c r="W860" s="1">
        <v>86</v>
      </c>
    </row>
    <row r="861" spans="10:23" x14ac:dyDescent="0.3">
      <c r="J861">
        <v>2400</v>
      </c>
      <c r="K861">
        <v>1</v>
      </c>
      <c r="U861" t="s">
        <v>955</v>
      </c>
      <c r="V861" t="s">
        <v>612</v>
      </c>
      <c r="W861" s="1">
        <v>86</v>
      </c>
    </row>
    <row r="862" spans="10:23" x14ac:dyDescent="0.3">
      <c r="J862">
        <v>2324</v>
      </c>
      <c r="K862">
        <v>1</v>
      </c>
      <c r="U862" t="s">
        <v>956</v>
      </c>
      <c r="V862" t="s">
        <v>832</v>
      </c>
      <c r="W862" s="1">
        <v>86</v>
      </c>
    </row>
    <row r="863" spans="10:23" x14ac:dyDescent="0.3">
      <c r="J863">
        <v>2315</v>
      </c>
      <c r="K863">
        <v>1</v>
      </c>
      <c r="U863" t="s">
        <v>957</v>
      </c>
      <c r="V863" t="s">
        <v>37</v>
      </c>
      <c r="W863" s="1">
        <v>86</v>
      </c>
    </row>
    <row r="864" spans="10:23" x14ac:dyDescent="0.3">
      <c r="J864">
        <v>2301</v>
      </c>
      <c r="K864">
        <v>1</v>
      </c>
      <c r="U864" t="s">
        <v>958</v>
      </c>
      <c r="V864" t="s">
        <v>39</v>
      </c>
      <c r="W864" s="1">
        <v>86</v>
      </c>
    </row>
    <row r="865" spans="10:23" x14ac:dyDescent="0.3">
      <c r="J865">
        <v>2300</v>
      </c>
      <c r="K865">
        <v>1</v>
      </c>
      <c r="U865" t="s">
        <v>959</v>
      </c>
      <c r="V865" t="s">
        <v>127</v>
      </c>
      <c r="W865" s="1">
        <v>86</v>
      </c>
    </row>
    <row r="866" spans="10:23" x14ac:dyDescent="0.3">
      <c r="J866">
        <v>2286</v>
      </c>
      <c r="K866">
        <v>1</v>
      </c>
      <c r="U866" t="s">
        <v>960</v>
      </c>
      <c r="V866" t="s">
        <v>961</v>
      </c>
      <c r="W866" s="1">
        <v>86</v>
      </c>
    </row>
    <row r="867" spans="10:23" x14ac:dyDescent="0.3">
      <c r="J867">
        <v>2275</v>
      </c>
      <c r="K867">
        <v>1</v>
      </c>
      <c r="U867" t="s">
        <v>962</v>
      </c>
      <c r="V867" t="s">
        <v>182</v>
      </c>
      <c r="W867" s="1">
        <v>86</v>
      </c>
    </row>
    <row r="868" spans="10:23" x14ac:dyDescent="0.3">
      <c r="J868">
        <v>2258</v>
      </c>
      <c r="K868">
        <v>1</v>
      </c>
      <c r="U868" t="s">
        <v>963</v>
      </c>
      <c r="V868" t="s">
        <v>171</v>
      </c>
      <c r="W868" s="1">
        <v>86</v>
      </c>
    </row>
    <row r="869" spans="10:23" x14ac:dyDescent="0.3">
      <c r="J869">
        <v>2230</v>
      </c>
      <c r="K869">
        <v>1</v>
      </c>
      <c r="U869" t="s">
        <v>964</v>
      </c>
      <c r="V869" t="s">
        <v>17</v>
      </c>
      <c r="W869" s="1">
        <v>861</v>
      </c>
    </row>
    <row r="870" spans="10:23" x14ac:dyDescent="0.3">
      <c r="J870">
        <v>2208</v>
      </c>
      <c r="K870">
        <v>1</v>
      </c>
      <c r="U870" t="s">
        <v>965</v>
      </c>
      <c r="V870" t="s">
        <v>415</v>
      </c>
      <c r="W870" s="1">
        <v>87</v>
      </c>
    </row>
    <row r="871" spans="10:23" x14ac:dyDescent="0.3">
      <c r="J871">
        <v>2200</v>
      </c>
      <c r="K871">
        <v>1</v>
      </c>
      <c r="U871" t="s">
        <v>966</v>
      </c>
      <c r="V871" t="s">
        <v>37</v>
      </c>
      <c r="W871" s="1">
        <v>87</v>
      </c>
    </row>
    <row r="872" spans="10:23" x14ac:dyDescent="0.3">
      <c r="J872">
        <v>2185</v>
      </c>
      <c r="K872">
        <v>1</v>
      </c>
      <c r="U872" t="s">
        <v>967</v>
      </c>
      <c r="V872" t="s">
        <v>304</v>
      </c>
      <c r="W872" s="1">
        <v>87</v>
      </c>
    </row>
    <row r="873" spans="10:23" x14ac:dyDescent="0.3">
      <c r="J873">
        <v>2171</v>
      </c>
      <c r="K873">
        <v>1</v>
      </c>
      <c r="U873" t="s">
        <v>968</v>
      </c>
      <c r="V873" t="s">
        <v>42</v>
      </c>
      <c r="W873" s="1">
        <v>87</v>
      </c>
    </row>
    <row r="874" spans="10:23" x14ac:dyDescent="0.3">
      <c r="J874">
        <v>2160</v>
      </c>
      <c r="K874">
        <v>1</v>
      </c>
      <c r="U874" t="s">
        <v>969</v>
      </c>
      <c r="V874" t="s">
        <v>304</v>
      </c>
      <c r="W874" s="1">
        <v>87</v>
      </c>
    </row>
    <row r="875" spans="10:23" x14ac:dyDescent="0.3">
      <c r="J875">
        <v>2138</v>
      </c>
      <c r="K875">
        <v>1</v>
      </c>
      <c r="U875" t="s">
        <v>970</v>
      </c>
      <c r="V875" t="s">
        <v>324</v>
      </c>
      <c r="W875" s="1">
        <v>87</v>
      </c>
    </row>
    <row r="876" spans="10:23" x14ac:dyDescent="0.3">
      <c r="J876">
        <v>2135</v>
      </c>
      <c r="K876">
        <v>1</v>
      </c>
      <c r="U876" t="s">
        <v>971</v>
      </c>
      <c r="V876" t="s">
        <v>842</v>
      </c>
      <c r="W876" s="1">
        <v>87</v>
      </c>
    </row>
    <row r="877" spans="10:23" x14ac:dyDescent="0.3">
      <c r="J877">
        <v>2100</v>
      </c>
      <c r="K877">
        <v>1</v>
      </c>
      <c r="U877" t="s">
        <v>972</v>
      </c>
      <c r="V877" t="s">
        <v>112</v>
      </c>
      <c r="W877" s="1">
        <v>87</v>
      </c>
    </row>
    <row r="878" spans="10:23" x14ac:dyDescent="0.3">
      <c r="J878">
        <v>2083</v>
      </c>
      <c r="K878">
        <v>1</v>
      </c>
      <c r="U878" t="s">
        <v>973</v>
      </c>
      <c r="V878" t="s">
        <v>114</v>
      </c>
      <c r="W878" s="1">
        <v>87</v>
      </c>
    </row>
    <row r="879" spans="10:23" x14ac:dyDescent="0.3">
      <c r="J879">
        <v>2081</v>
      </c>
      <c r="K879">
        <v>1</v>
      </c>
      <c r="U879" t="s">
        <v>974</v>
      </c>
      <c r="V879" t="s">
        <v>17</v>
      </c>
      <c r="W879" s="1">
        <v>874</v>
      </c>
    </row>
    <row r="880" spans="10:23" x14ac:dyDescent="0.3">
      <c r="J880">
        <v>2018</v>
      </c>
      <c r="K880">
        <v>1</v>
      </c>
      <c r="U880" t="s">
        <v>975</v>
      </c>
      <c r="V880" t="s">
        <v>11</v>
      </c>
      <c r="W880" s="1">
        <v>88</v>
      </c>
    </row>
    <row r="881" spans="10:23" x14ac:dyDescent="0.3">
      <c r="J881">
        <v>1999</v>
      </c>
      <c r="K881">
        <v>1</v>
      </c>
      <c r="U881" t="s">
        <v>976</v>
      </c>
      <c r="V881" t="s">
        <v>11</v>
      </c>
      <c r="W881" s="1">
        <v>88</v>
      </c>
    </row>
    <row r="882" spans="10:23" x14ac:dyDescent="0.3">
      <c r="J882">
        <v>1975</v>
      </c>
      <c r="K882">
        <v>1</v>
      </c>
      <c r="U882" t="s">
        <v>977</v>
      </c>
      <c r="V882" t="s">
        <v>45</v>
      </c>
      <c r="W882" s="1">
        <v>88</v>
      </c>
    </row>
    <row r="883" spans="10:23" x14ac:dyDescent="0.3">
      <c r="J883">
        <v>1948</v>
      </c>
      <c r="K883">
        <v>1</v>
      </c>
      <c r="U883" t="s">
        <v>978</v>
      </c>
      <c r="V883" t="s">
        <v>114</v>
      </c>
      <c r="W883" s="1">
        <v>88</v>
      </c>
    </row>
    <row r="884" spans="10:23" x14ac:dyDescent="0.3">
      <c r="J884">
        <v>1947</v>
      </c>
      <c r="K884">
        <v>1</v>
      </c>
      <c r="U884" t="s">
        <v>979</v>
      </c>
      <c r="V884" t="s">
        <v>612</v>
      </c>
      <c r="W884" s="1">
        <v>88</v>
      </c>
    </row>
    <row r="885" spans="10:23" x14ac:dyDescent="0.3">
      <c r="J885">
        <v>1907</v>
      </c>
      <c r="K885">
        <v>1</v>
      </c>
      <c r="U885" t="s">
        <v>980</v>
      </c>
      <c r="V885" t="s">
        <v>23</v>
      </c>
      <c r="W885" s="1">
        <v>88</v>
      </c>
    </row>
    <row r="886" spans="10:23" x14ac:dyDescent="0.3">
      <c r="J886">
        <v>1892</v>
      </c>
      <c r="K886">
        <v>1</v>
      </c>
      <c r="U886" t="s">
        <v>981</v>
      </c>
      <c r="V886" t="s">
        <v>73</v>
      </c>
      <c r="W886" s="1">
        <v>88</v>
      </c>
    </row>
    <row r="887" spans="10:23" x14ac:dyDescent="0.3">
      <c r="J887">
        <v>1874</v>
      </c>
      <c r="K887">
        <v>1</v>
      </c>
      <c r="U887" t="s">
        <v>982</v>
      </c>
      <c r="V887" t="s">
        <v>961</v>
      </c>
      <c r="W887" s="1">
        <v>88</v>
      </c>
    </row>
    <row r="888" spans="10:23" x14ac:dyDescent="0.3">
      <c r="J888">
        <v>1859</v>
      </c>
      <c r="K888">
        <v>1</v>
      </c>
      <c r="U888" t="s">
        <v>983</v>
      </c>
      <c r="V888" t="s">
        <v>772</v>
      </c>
      <c r="W888" s="1">
        <v>89</v>
      </c>
    </row>
    <row r="889" spans="10:23" x14ac:dyDescent="0.3">
      <c r="J889">
        <v>1858</v>
      </c>
      <c r="K889">
        <v>1</v>
      </c>
      <c r="U889" t="s">
        <v>984</v>
      </c>
      <c r="V889" t="s">
        <v>114</v>
      </c>
      <c r="W889" s="1">
        <v>89</v>
      </c>
    </row>
    <row r="890" spans="10:23" x14ac:dyDescent="0.3">
      <c r="J890">
        <v>1849</v>
      </c>
      <c r="K890">
        <v>1</v>
      </c>
      <c r="U890" t="s">
        <v>985</v>
      </c>
      <c r="V890" t="s">
        <v>114</v>
      </c>
      <c r="W890" s="1">
        <v>89</v>
      </c>
    </row>
    <row r="891" spans="10:23" x14ac:dyDescent="0.3">
      <c r="J891">
        <v>1831</v>
      </c>
      <c r="K891">
        <v>1</v>
      </c>
      <c r="U891" t="s">
        <v>986</v>
      </c>
      <c r="V891" t="s">
        <v>215</v>
      </c>
      <c r="W891" s="1">
        <v>89</v>
      </c>
    </row>
    <row r="892" spans="10:23" x14ac:dyDescent="0.3">
      <c r="J892">
        <v>1827</v>
      </c>
      <c r="K892">
        <v>1</v>
      </c>
      <c r="U892" t="s">
        <v>987</v>
      </c>
      <c r="V892" t="s">
        <v>988</v>
      </c>
      <c r="W892" s="1">
        <v>89</v>
      </c>
    </row>
    <row r="893" spans="10:23" x14ac:dyDescent="0.3">
      <c r="J893">
        <v>1822</v>
      </c>
      <c r="K893">
        <v>1</v>
      </c>
      <c r="U893" t="s">
        <v>989</v>
      </c>
      <c r="V893" t="s">
        <v>195</v>
      </c>
      <c r="W893" s="1">
        <v>89</v>
      </c>
    </row>
    <row r="894" spans="10:23" x14ac:dyDescent="0.3">
      <c r="J894">
        <v>1803</v>
      </c>
      <c r="K894">
        <v>1</v>
      </c>
      <c r="U894" t="s">
        <v>990</v>
      </c>
      <c r="V894" t="s">
        <v>13</v>
      </c>
      <c r="W894" s="1">
        <v>89</v>
      </c>
    </row>
    <row r="895" spans="10:23" x14ac:dyDescent="0.3">
      <c r="J895">
        <v>1785</v>
      </c>
      <c r="K895">
        <v>1</v>
      </c>
      <c r="U895" t="s">
        <v>991</v>
      </c>
      <c r="V895" t="s">
        <v>215</v>
      </c>
      <c r="W895" s="1">
        <v>89</v>
      </c>
    </row>
    <row r="896" spans="10:23" x14ac:dyDescent="0.3">
      <c r="J896">
        <v>1749</v>
      </c>
      <c r="K896">
        <v>1</v>
      </c>
      <c r="U896" t="s">
        <v>992</v>
      </c>
      <c r="V896" t="s">
        <v>45</v>
      </c>
      <c r="W896" s="1">
        <v>89</v>
      </c>
    </row>
    <row r="897" spans="10:23" x14ac:dyDescent="0.3">
      <c r="J897">
        <v>1740</v>
      </c>
      <c r="K897">
        <v>1</v>
      </c>
      <c r="U897" t="s">
        <v>993</v>
      </c>
      <c r="V897" t="s">
        <v>961</v>
      </c>
      <c r="W897" s="1">
        <v>89</v>
      </c>
    </row>
    <row r="898" spans="10:23" x14ac:dyDescent="0.3">
      <c r="J898">
        <v>1729</v>
      </c>
      <c r="K898">
        <v>1</v>
      </c>
      <c r="U898" t="s">
        <v>994</v>
      </c>
      <c r="V898" t="s">
        <v>112</v>
      </c>
      <c r="W898" s="1">
        <v>89</v>
      </c>
    </row>
    <row r="899" spans="10:23" x14ac:dyDescent="0.3">
      <c r="J899">
        <v>1715</v>
      </c>
      <c r="K899">
        <v>1</v>
      </c>
      <c r="U899" t="s">
        <v>995</v>
      </c>
      <c r="V899" t="s">
        <v>112</v>
      </c>
      <c r="W899" s="1">
        <v>89</v>
      </c>
    </row>
    <row r="900" spans="10:23" x14ac:dyDescent="0.3">
      <c r="J900">
        <v>1711</v>
      </c>
      <c r="K900">
        <v>1</v>
      </c>
      <c r="U900" t="s">
        <v>996</v>
      </c>
      <c r="V900" t="s">
        <v>23</v>
      </c>
      <c r="W900" s="1">
        <v>89</v>
      </c>
    </row>
    <row r="901" spans="10:23" x14ac:dyDescent="0.3">
      <c r="J901">
        <v>1665</v>
      </c>
      <c r="K901">
        <v>1</v>
      </c>
      <c r="U901" t="s">
        <v>997</v>
      </c>
      <c r="V901" t="s">
        <v>37</v>
      </c>
      <c r="W901" s="1">
        <v>89</v>
      </c>
    </row>
    <row r="902" spans="10:23" x14ac:dyDescent="0.3">
      <c r="J902">
        <v>1656</v>
      </c>
      <c r="K902">
        <v>1</v>
      </c>
      <c r="U902" t="s">
        <v>998</v>
      </c>
      <c r="V902" t="s">
        <v>42</v>
      </c>
      <c r="W902" s="1">
        <v>9999</v>
      </c>
    </row>
    <row r="903" spans="10:23" x14ac:dyDescent="0.3">
      <c r="J903">
        <v>1643</v>
      </c>
      <c r="K903">
        <v>1</v>
      </c>
      <c r="U903" t="s">
        <v>999</v>
      </c>
      <c r="V903" t="s">
        <v>42</v>
      </c>
      <c r="W903" s="1">
        <v>9999</v>
      </c>
    </row>
    <row r="904" spans="10:23" x14ac:dyDescent="0.3">
      <c r="J904">
        <v>1641</v>
      </c>
      <c r="K904">
        <v>1</v>
      </c>
      <c r="U904" t="s">
        <v>1000</v>
      </c>
      <c r="V904" t="s">
        <v>42</v>
      </c>
      <c r="W904" s="1">
        <v>9999</v>
      </c>
    </row>
    <row r="905" spans="10:23" x14ac:dyDescent="0.3">
      <c r="J905">
        <v>1633</v>
      </c>
      <c r="K905">
        <v>1</v>
      </c>
      <c r="U905" t="s">
        <v>1001</v>
      </c>
      <c r="V905" t="s">
        <v>335</v>
      </c>
      <c r="W905" s="1">
        <v>90</v>
      </c>
    </row>
    <row r="906" spans="10:23" x14ac:dyDescent="0.3">
      <c r="J906">
        <v>1615</v>
      </c>
      <c r="K906">
        <v>1</v>
      </c>
      <c r="U906" t="s">
        <v>1002</v>
      </c>
      <c r="V906" t="s">
        <v>215</v>
      </c>
      <c r="W906" s="1">
        <v>90</v>
      </c>
    </row>
    <row r="907" spans="10:23" x14ac:dyDescent="0.3">
      <c r="J907">
        <v>1614</v>
      </c>
      <c r="K907">
        <v>1</v>
      </c>
      <c r="U907" t="s">
        <v>1003</v>
      </c>
      <c r="V907" t="s">
        <v>75</v>
      </c>
      <c r="W907" s="1">
        <v>90</v>
      </c>
    </row>
    <row r="908" spans="10:23" x14ac:dyDescent="0.3">
      <c r="J908">
        <v>1608</v>
      </c>
      <c r="K908">
        <v>1</v>
      </c>
      <c r="U908" t="s">
        <v>1004</v>
      </c>
      <c r="V908" t="s">
        <v>73</v>
      </c>
      <c r="W908" s="1">
        <v>90</v>
      </c>
    </row>
    <row r="909" spans="10:23" x14ac:dyDescent="0.3">
      <c r="J909">
        <v>1605</v>
      </c>
      <c r="K909">
        <v>1</v>
      </c>
      <c r="U909" t="s">
        <v>1005</v>
      </c>
      <c r="V909" t="s">
        <v>203</v>
      </c>
      <c r="W909" s="1">
        <v>90</v>
      </c>
    </row>
    <row r="910" spans="10:23" x14ac:dyDescent="0.3">
      <c r="J910">
        <v>1599</v>
      </c>
      <c r="K910">
        <v>1</v>
      </c>
      <c r="U910" t="s">
        <v>1006</v>
      </c>
      <c r="V910" t="s">
        <v>375</v>
      </c>
      <c r="W910" s="1">
        <v>90</v>
      </c>
    </row>
    <row r="911" spans="10:23" x14ac:dyDescent="0.3">
      <c r="J911">
        <v>1598</v>
      </c>
      <c r="K911">
        <v>1</v>
      </c>
      <c r="U911" t="s">
        <v>1007</v>
      </c>
      <c r="V911" t="s">
        <v>17</v>
      </c>
      <c r="W911" s="1">
        <v>90</v>
      </c>
    </row>
    <row r="912" spans="10:23" x14ac:dyDescent="0.3">
      <c r="J912">
        <v>1595</v>
      </c>
      <c r="K912">
        <v>1</v>
      </c>
      <c r="U912" t="s">
        <v>1008</v>
      </c>
      <c r="V912" t="s">
        <v>842</v>
      </c>
      <c r="W912" s="1">
        <v>90</v>
      </c>
    </row>
    <row r="913" spans="10:23" x14ac:dyDescent="0.3">
      <c r="J913">
        <v>1567</v>
      </c>
      <c r="K913">
        <v>1</v>
      </c>
      <c r="U913" t="s">
        <v>1009</v>
      </c>
      <c r="V913" t="s">
        <v>612</v>
      </c>
      <c r="W913" s="1">
        <v>90</v>
      </c>
    </row>
    <row r="914" spans="10:23" x14ac:dyDescent="0.3">
      <c r="J914">
        <v>1557</v>
      </c>
      <c r="K914">
        <v>1</v>
      </c>
      <c r="U914" t="s">
        <v>1010</v>
      </c>
      <c r="V914" t="s">
        <v>77</v>
      </c>
      <c r="W914" s="1">
        <v>90</v>
      </c>
    </row>
    <row r="915" spans="10:23" x14ac:dyDescent="0.3">
      <c r="J915">
        <v>1526</v>
      </c>
      <c r="K915">
        <v>1</v>
      </c>
      <c r="U915" t="s">
        <v>1011</v>
      </c>
      <c r="V915" t="s">
        <v>73</v>
      </c>
      <c r="W915" s="1">
        <v>90</v>
      </c>
    </row>
    <row r="916" spans="10:23" x14ac:dyDescent="0.3">
      <c r="J916">
        <v>1523</v>
      </c>
      <c r="K916">
        <v>1</v>
      </c>
      <c r="U916" t="s">
        <v>1012</v>
      </c>
      <c r="V916" t="s">
        <v>171</v>
      </c>
      <c r="W916" s="1">
        <v>90</v>
      </c>
    </row>
    <row r="917" spans="10:23" x14ac:dyDescent="0.3">
      <c r="J917">
        <v>1511</v>
      </c>
      <c r="K917">
        <v>1</v>
      </c>
      <c r="U917" t="s">
        <v>1013</v>
      </c>
      <c r="V917" t="s">
        <v>215</v>
      </c>
      <c r="W917" s="1">
        <v>90</v>
      </c>
    </row>
    <row r="918" spans="10:23" x14ac:dyDescent="0.3">
      <c r="J918">
        <v>1507</v>
      </c>
      <c r="K918">
        <v>1</v>
      </c>
      <c r="U918" t="s">
        <v>1014</v>
      </c>
      <c r="V918" t="s">
        <v>42</v>
      </c>
      <c r="W918" s="1">
        <v>90</v>
      </c>
    </row>
    <row r="919" spans="10:23" x14ac:dyDescent="0.3">
      <c r="J919">
        <v>1505</v>
      </c>
      <c r="K919">
        <v>1</v>
      </c>
      <c r="U919" t="s">
        <v>1015</v>
      </c>
      <c r="V919" t="s">
        <v>114</v>
      </c>
      <c r="W919" s="1">
        <v>90</v>
      </c>
    </row>
    <row r="920" spans="10:23" x14ac:dyDescent="0.3">
      <c r="J920">
        <v>1499</v>
      </c>
      <c r="K920">
        <v>1</v>
      </c>
      <c r="U920" t="s">
        <v>1016</v>
      </c>
      <c r="V920" t="s">
        <v>1017</v>
      </c>
      <c r="W920" s="1">
        <v>90</v>
      </c>
    </row>
    <row r="921" spans="10:23" x14ac:dyDescent="0.3">
      <c r="J921">
        <v>1495</v>
      </c>
      <c r="K921">
        <v>1</v>
      </c>
      <c r="U921" t="s">
        <v>1018</v>
      </c>
      <c r="V921" t="s">
        <v>11</v>
      </c>
      <c r="W921" s="1">
        <v>90</v>
      </c>
    </row>
    <row r="922" spans="10:23" x14ac:dyDescent="0.3">
      <c r="J922">
        <v>1492</v>
      </c>
      <c r="K922">
        <v>1</v>
      </c>
      <c r="U922" t="s">
        <v>1019</v>
      </c>
      <c r="V922" t="s">
        <v>23</v>
      </c>
      <c r="W922" s="1">
        <v>90</v>
      </c>
    </row>
    <row r="923" spans="10:23" x14ac:dyDescent="0.3">
      <c r="J923">
        <v>1472</v>
      </c>
      <c r="K923">
        <v>1</v>
      </c>
      <c r="U923" t="s">
        <v>1020</v>
      </c>
      <c r="V923" t="s">
        <v>310</v>
      </c>
      <c r="W923" s="1">
        <v>90</v>
      </c>
    </row>
    <row r="924" spans="10:23" x14ac:dyDescent="0.3">
      <c r="J924">
        <v>1440</v>
      </c>
      <c r="K924">
        <v>1</v>
      </c>
      <c r="U924" t="s">
        <v>1021</v>
      </c>
      <c r="V924" t="s">
        <v>73</v>
      </c>
      <c r="W924" s="1">
        <v>91</v>
      </c>
    </row>
    <row r="925" spans="10:23" x14ac:dyDescent="0.3">
      <c r="J925">
        <v>1428</v>
      </c>
      <c r="K925">
        <v>1</v>
      </c>
      <c r="U925" t="s">
        <v>1022</v>
      </c>
      <c r="V925" t="s">
        <v>11</v>
      </c>
      <c r="W925" s="1">
        <v>91</v>
      </c>
    </row>
    <row r="926" spans="10:23" x14ac:dyDescent="0.3">
      <c r="J926">
        <v>1424</v>
      </c>
      <c r="K926">
        <v>1</v>
      </c>
      <c r="U926" t="s">
        <v>1023</v>
      </c>
      <c r="V926" t="s">
        <v>559</v>
      </c>
      <c r="W926" s="1">
        <v>91</v>
      </c>
    </row>
    <row r="927" spans="10:23" x14ac:dyDescent="0.3">
      <c r="J927">
        <v>1416</v>
      </c>
      <c r="K927">
        <v>1</v>
      </c>
      <c r="U927" t="s">
        <v>1024</v>
      </c>
      <c r="V927" t="s">
        <v>42</v>
      </c>
      <c r="W927" s="1">
        <v>91</v>
      </c>
    </row>
    <row r="928" spans="10:23" x14ac:dyDescent="0.3">
      <c r="J928">
        <v>1413</v>
      </c>
      <c r="K928">
        <v>1</v>
      </c>
      <c r="U928" t="s">
        <v>1025</v>
      </c>
      <c r="V928" t="s">
        <v>182</v>
      </c>
      <c r="W928" s="1">
        <v>91</v>
      </c>
    </row>
    <row r="929" spans="10:23" x14ac:dyDescent="0.3">
      <c r="J929">
        <v>1407</v>
      </c>
      <c r="K929">
        <v>1</v>
      </c>
      <c r="U929" t="s">
        <v>1026</v>
      </c>
      <c r="V929" t="s">
        <v>23</v>
      </c>
      <c r="W929" s="1">
        <v>91</v>
      </c>
    </row>
    <row r="930" spans="10:23" x14ac:dyDescent="0.3">
      <c r="J930">
        <v>1404</v>
      </c>
      <c r="K930">
        <v>1</v>
      </c>
      <c r="U930" t="s">
        <v>1027</v>
      </c>
      <c r="V930" t="s">
        <v>818</v>
      </c>
      <c r="W930" s="1">
        <v>91</v>
      </c>
    </row>
    <row r="931" spans="10:23" x14ac:dyDescent="0.3">
      <c r="J931">
        <v>1398</v>
      </c>
      <c r="K931">
        <v>1</v>
      </c>
      <c r="U931" t="s">
        <v>1028</v>
      </c>
      <c r="V931" t="s">
        <v>961</v>
      </c>
      <c r="W931" s="1">
        <v>91</v>
      </c>
    </row>
    <row r="932" spans="10:23" x14ac:dyDescent="0.3">
      <c r="J932">
        <v>1392</v>
      </c>
      <c r="K932">
        <v>1</v>
      </c>
      <c r="U932" t="s">
        <v>1029</v>
      </c>
      <c r="V932" t="s">
        <v>112</v>
      </c>
      <c r="W932" s="1">
        <v>91</v>
      </c>
    </row>
    <row r="933" spans="10:23" x14ac:dyDescent="0.3">
      <c r="J933">
        <v>1390</v>
      </c>
      <c r="K933">
        <v>1</v>
      </c>
      <c r="U933" t="s">
        <v>1030</v>
      </c>
      <c r="V933" t="s">
        <v>961</v>
      </c>
      <c r="W933" s="1">
        <v>92</v>
      </c>
    </row>
    <row r="934" spans="10:23" x14ac:dyDescent="0.3">
      <c r="J934">
        <v>1386</v>
      </c>
      <c r="K934">
        <v>1</v>
      </c>
      <c r="U934" t="s">
        <v>1031</v>
      </c>
      <c r="V934" t="s">
        <v>114</v>
      </c>
      <c r="W934" s="1">
        <v>92</v>
      </c>
    </row>
    <row r="935" spans="10:23" x14ac:dyDescent="0.3">
      <c r="J935">
        <v>1367</v>
      </c>
      <c r="K935">
        <v>1</v>
      </c>
      <c r="U935" t="s">
        <v>1032</v>
      </c>
      <c r="V935" t="s">
        <v>146</v>
      </c>
      <c r="W935" s="1">
        <v>92</v>
      </c>
    </row>
    <row r="936" spans="10:23" x14ac:dyDescent="0.3">
      <c r="J936">
        <v>1366</v>
      </c>
      <c r="K936">
        <v>1</v>
      </c>
      <c r="U936" t="s">
        <v>1033</v>
      </c>
      <c r="V936" t="s">
        <v>310</v>
      </c>
      <c r="W936" s="1">
        <v>92</v>
      </c>
    </row>
    <row r="937" spans="10:23" x14ac:dyDescent="0.3">
      <c r="J937">
        <v>1364</v>
      </c>
      <c r="K937">
        <v>1</v>
      </c>
      <c r="U937" t="s">
        <v>1034</v>
      </c>
      <c r="V937" t="s">
        <v>324</v>
      </c>
      <c r="W937" s="1">
        <v>92</v>
      </c>
    </row>
    <row r="938" spans="10:23" x14ac:dyDescent="0.3">
      <c r="J938">
        <v>1358</v>
      </c>
      <c r="K938">
        <v>1</v>
      </c>
      <c r="U938" t="s">
        <v>1035</v>
      </c>
      <c r="V938" t="s">
        <v>39</v>
      </c>
      <c r="W938" s="1">
        <v>92</v>
      </c>
    </row>
    <row r="939" spans="10:23" x14ac:dyDescent="0.3">
      <c r="J939">
        <v>1357</v>
      </c>
      <c r="K939">
        <v>1</v>
      </c>
      <c r="U939" t="s">
        <v>1036</v>
      </c>
      <c r="V939" t="s">
        <v>73</v>
      </c>
      <c r="W939" s="1">
        <v>92</v>
      </c>
    </row>
    <row r="940" spans="10:23" x14ac:dyDescent="0.3">
      <c r="J940">
        <v>1353</v>
      </c>
      <c r="K940">
        <v>1</v>
      </c>
      <c r="U940" t="s">
        <v>1037</v>
      </c>
      <c r="V940" t="s">
        <v>69</v>
      </c>
      <c r="W940" s="1">
        <v>93</v>
      </c>
    </row>
    <row r="941" spans="10:23" x14ac:dyDescent="0.3">
      <c r="J941">
        <v>1351</v>
      </c>
      <c r="K941">
        <v>1</v>
      </c>
      <c r="U941" t="s">
        <v>1038</v>
      </c>
      <c r="V941" t="s">
        <v>832</v>
      </c>
      <c r="W941" s="1">
        <v>93</v>
      </c>
    </row>
    <row r="942" spans="10:23" x14ac:dyDescent="0.3">
      <c r="J942">
        <v>1350</v>
      </c>
      <c r="K942">
        <v>1</v>
      </c>
      <c r="U942" t="s">
        <v>1039</v>
      </c>
      <c r="V942" t="s">
        <v>203</v>
      </c>
      <c r="W942" s="1">
        <v>93</v>
      </c>
    </row>
    <row r="943" spans="10:23" x14ac:dyDescent="0.3">
      <c r="J943">
        <v>1348</v>
      </c>
      <c r="K943">
        <v>1</v>
      </c>
      <c r="U943" t="s">
        <v>1040</v>
      </c>
      <c r="V943" t="s">
        <v>961</v>
      </c>
      <c r="W943" s="1">
        <v>93</v>
      </c>
    </row>
    <row r="944" spans="10:23" x14ac:dyDescent="0.3">
      <c r="J944">
        <v>1343</v>
      </c>
      <c r="K944">
        <v>1</v>
      </c>
      <c r="U944" t="s">
        <v>1041</v>
      </c>
      <c r="V944" t="s">
        <v>114</v>
      </c>
      <c r="W944" s="1">
        <v>93</v>
      </c>
    </row>
    <row r="945" spans="10:23" x14ac:dyDescent="0.3">
      <c r="J945">
        <v>1332</v>
      </c>
      <c r="K945">
        <v>1</v>
      </c>
      <c r="U945" t="s">
        <v>1042</v>
      </c>
      <c r="V945" t="s">
        <v>182</v>
      </c>
      <c r="W945" s="1">
        <v>93</v>
      </c>
    </row>
    <row r="946" spans="10:23" x14ac:dyDescent="0.3">
      <c r="J946">
        <v>1326</v>
      </c>
      <c r="K946">
        <v>1</v>
      </c>
      <c r="U946" t="s">
        <v>1043</v>
      </c>
      <c r="V946" t="s">
        <v>37</v>
      </c>
      <c r="W946" s="1">
        <v>94</v>
      </c>
    </row>
    <row r="947" spans="10:23" x14ac:dyDescent="0.3">
      <c r="J947">
        <v>1325</v>
      </c>
      <c r="K947">
        <v>1</v>
      </c>
      <c r="U947" t="s">
        <v>1044</v>
      </c>
      <c r="V947" t="s">
        <v>29</v>
      </c>
      <c r="W947" s="1">
        <v>94</v>
      </c>
    </row>
    <row r="948" spans="10:23" x14ac:dyDescent="0.3">
      <c r="J948">
        <v>1321</v>
      </c>
      <c r="K948">
        <v>1</v>
      </c>
      <c r="U948" t="s">
        <v>1045</v>
      </c>
      <c r="V948" t="s">
        <v>23</v>
      </c>
      <c r="W948" s="1">
        <v>94</v>
      </c>
    </row>
    <row r="949" spans="10:23" x14ac:dyDescent="0.3">
      <c r="J949">
        <v>1318</v>
      </c>
      <c r="K949">
        <v>1</v>
      </c>
      <c r="U949" t="s">
        <v>1046</v>
      </c>
      <c r="V949" t="s">
        <v>559</v>
      </c>
      <c r="W949" s="1">
        <v>94</v>
      </c>
    </row>
    <row r="950" spans="10:23" x14ac:dyDescent="0.3">
      <c r="J950">
        <v>1313</v>
      </c>
      <c r="K950">
        <v>1</v>
      </c>
      <c r="U950" t="s">
        <v>1047</v>
      </c>
      <c r="V950" t="s">
        <v>42</v>
      </c>
      <c r="W950" s="1">
        <v>95</v>
      </c>
    </row>
    <row r="951" spans="10:23" x14ac:dyDescent="0.3">
      <c r="J951">
        <v>1312</v>
      </c>
      <c r="K951">
        <v>1</v>
      </c>
      <c r="U951" t="s">
        <v>1048</v>
      </c>
      <c r="V951" t="s">
        <v>42</v>
      </c>
      <c r="W951" s="1">
        <v>95</v>
      </c>
    </row>
    <row r="952" spans="10:23" x14ac:dyDescent="0.3">
      <c r="J952">
        <v>1304</v>
      </c>
      <c r="K952">
        <v>1</v>
      </c>
      <c r="U952" t="s">
        <v>1049</v>
      </c>
      <c r="V952" t="s">
        <v>45</v>
      </c>
      <c r="W952" s="1">
        <v>95</v>
      </c>
    </row>
    <row r="953" spans="10:23" x14ac:dyDescent="0.3">
      <c r="J953">
        <v>1299</v>
      </c>
      <c r="K953">
        <v>1</v>
      </c>
      <c r="U953" t="s">
        <v>1050</v>
      </c>
      <c r="V953" t="s">
        <v>42</v>
      </c>
      <c r="W953" s="1">
        <v>95</v>
      </c>
    </row>
    <row r="954" spans="10:23" x14ac:dyDescent="0.3">
      <c r="J954">
        <v>1291</v>
      </c>
      <c r="K954">
        <v>1</v>
      </c>
      <c r="U954" t="s">
        <v>1051</v>
      </c>
      <c r="V954" t="s">
        <v>497</v>
      </c>
      <c r="W954" s="1">
        <v>95</v>
      </c>
    </row>
    <row r="955" spans="10:23" x14ac:dyDescent="0.3">
      <c r="J955">
        <v>1290</v>
      </c>
      <c r="K955">
        <v>1</v>
      </c>
      <c r="U955" t="s">
        <v>1052</v>
      </c>
      <c r="V955" t="s">
        <v>182</v>
      </c>
      <c r="W955" s="1">
        <v>95</v>
      </c>
    </row>
    <row r="956" spans="10:23" x14ac:dyDescent="0.3">
      <c r="J956">
        <v>1288</v>
      </c>
      <c r="K956">
        <v>1</v>
      </c>
      <c r="U956" t="s">
        <v>1053</v>
      </c>
      <c r="V956" t="s">
        <v>143</v>
      </c>
      <c r="W956" s="1">
        <v>95</v>
      </c>
    </row>
    <row r="957" spans="10:23" x14ac:dyDescent="0.3">
      <c r="J957">
        <v>1284</v>
      </c>
      <c r="K957">
        <v>1</v>
      </c>
      <c r="U957" t="s">
        <v>1054</v>
      </c>
      <c r="V957" t="s">
        <v>324</v>
      </c>
      <c r="W957" s="1">
        <v>95</v>
      </c>
    </row>
    <row r="958" spans="10:23" x14ac:dyDescent="0.3">
      <c r="J958">
        <v>1273</v>
      </c>
      <c r="K958">
        <v>1</v>
      </c>
      <c r="U958" t="s">
        <v>1055</v>
      </c>
      <c r="V958" t="s">
        <v>97</v>
      </c>
      <c r="W958" s="1">
        <v>95</v>
      </c>
    </row>
    <row r="959" spans="10:23" x14ac:dyDescent="0.3">
      <c r="J959">
        <v>1272</v>
      </c>
      <c r="K959">
        <v>1</v>
      </c>
      <c r="U959" t="s">
        <v>1056</v>
      </c>
      <c r="V959" t="s">
        <v>487</v>
      </c>
      <c r="W959" s="1">
        <v>95</v>
      </c>
    </row>
    <row r="960" spans="10:23" x14ac:dyDescent="0.3">
      <c r="J960">
        <v>1265</v>
      </c>
      <c r="K960">
        <v>1</v>
      </c>
      <c r="U960" t="s">
        <v>1057</v>
      </c>
      <c r="V960" t="s">
        <v>228</v>
      </c>
      <c r="W960" s="1">
        <v>95</v>
      </c>
    </row>
    <row r="961" spans="10:23" x14ac:dyDescent="0.3">
      <c r="J961">
        <v>1254</v>
      </c>
      <c r="K961">
        <v>1</v>
      </c>
      <c r="U961" t="s">
        <v>1058</v>
      </c>
      <c r="V961" t="s">
        <v>29</v>
      </c>
      <c r="W961" s="1">
        <v>95</v>
      </c>
    </row>
    <row r="962" spans="10:23" x14ac:dyDescent="0.3">
      <c r="J962">
        <v>1251</v>
      </c>
      <c r="K962">
        <v>1</v>
      </c>
      <c r="U962" t="s">
        <v>1059</v>
      </c>
      <c r="V962" t="s">
        <v>324</v>
      </c>
      <c r="W962" s="1">
        <v>95</v>
      </c>
    </row>
    <row r="963" spans="10:23" x14ac:dyDescent="0.3">
      <c r="J963">
        <v>1250</v>
      </c>
      <c r="K963">
        <v>1</v>
      </c>
      <c r="U963" t="s">
        <v>1060</v>
      </c>
      <c r="V963" t="s">
        <v>215</v>
      </c>
      <c r="W963" s="1">
        <v>95</v>
      </c>
    </row>
    <row r="964" spans="10:23" x14ac:dyDescent="0.3">
      <c r="J964">
        <v>1248</v>
      </c>
      <c r="K964">
        <v>1</v>
      </c>
      <c r="U964" t="s">
        <v>1061</v>
      </c>
      <c r="V964" t="s">
        <v>171</v>
      </c>
      <c r="W964" s="1">
        <v>95</v>
      </c>
    </row>
    <row r="965" spans="10:23" x14ac:dyDescent="0.3">
      <c r="J965">
        <v>1243</v>
      </c>
      <c r="K965">
        <v>1</v>
      </c>
      <c r="U965" t="s">
        <v>1062</v>
      </c>
      <c r="V965" t="s">
        <v>158</v>
      </c>
      <c r="W965" s="1">
        <v>95</v>
      </c>
    </row>
    <row r="966" spans="10:23" x14ac:dyDescent="0.3">
      <c r="J966">
        <v>1241</v>
      </c>
      <c r="K966">
        <v>1</v>
      </c>
      <c r="U966" t="s">
        <v>1063</v>
      </c>
      <c r="V966" t="s">
        <v>23</v>
      </c>
      <c r="W966" s="1">
        <v>95</v>
      </c>
    </row>
    <row r="967" spans="10:23" x14ac:dyDescent="0.3">
      <c r="J967">
        <v>1222</v>
      </c>
      <c r="K967">
        <v>1</v>
      </c>
      <c r="U967" t="s">
        <v>1064</v>
      </c>
      <c r="V967" t="s">
        <v>23</v>
      </c>
      <c r="W967" s="1">
        <v>95</v>
      </c>
    </row>
    <row r="968" spans="10:23" x14ac:dyDescent="0.3">
      <c r="J968">
        <v>1221</v>
      </c>
      <c r="K968">
        <v>1</v>
      </c>
      <c r="U968" t="s">
        <v>1065</v>
      </c>
      <c r="V968" t="s">
        <v>127</v>
      </c>
      <c r="W968" s="1">
        <v>95</v>
      </c>
    </row>
    <row r="969" spans="10:23" x14ac:dyDescent="0.3">
      <c r="J969">
        <v>1220</v>
      </c>
      <c r="K969">
        <v>1</v>
      </c>
      <c r="U969" t="s">
        <v>1066</v>
      </c>
      <c r="V969" t="s">
        <v>13</v>
      </c>
      <c r="W969" s="1">
        <v>95</v>
      </c>
    </row>
    <row r="970" spans="10:23" x14ac:dyDescent="0.3">
      <c r="J970">
        <v>1215</v>
      </c>
      <c r="K970">
        <v>1</v>
      </c>
      <c r="U970" t="s">
        <v>1067</v>
      </c>
      <c r="V970" t="s">
        <v>45</v>
      </c>
      <c r="W970" s="1">
        <v>954</v>
      </c>
    </row>
    <row r="971" spans="10:23" x14ac:dyDescent="0.3">
      <c r="J971">
        <v>1212</v>
      </c>
      <c r="K971">
        <v>1</v>
      </c>
      <c r="U971" t="s">
        <v>1068</v>
      </c>
      <c r="V971" t="s">
        <v>114</v>
      </c>
      <c r="W971" s="1">
        <v>96</v>
      </c>
    </row>
    <row r="972" spans="10:23" x14ac:dyDescent="0.3">
      <c r="J972">
        <v>1207</v>
      </c>
      <c r="K972">
        <v>1</v>
      </c>
      <c r="U972" t="s">
        <v>1069</v>
      </c>
      <c r="V972" t="s">
        <v>127</v>
      </c>
      <c r="W972" s="1">
        <v>96</v>
      </c>
    </row>
    <row r="973" spans="10:23" x14ac:dyDescent="0.3">
      <c r="J973">
        <v>1204</v>
      </c>
      <c r="K973">
        <v>1</v>
      </c>
      <c r="U973" t="s">
        <v>1070</v>
      </c>
      <c r="V973" t="s">
        <v>45</v>
      </c>
      <c r="W973" s="1">
        <v>96</v>
      </c>
    </row>
    <row r="974" spans="10:23" x14ac:dyDescent="0.3">
      <c r="J974">
        <v>1203</v>
      </c>
      <c r="K974">
        <v>1</v>
      </c>
      <c r="U974" t="s">
        <v>1071</v>
      </c>
      <c r="V974" t="s">
        <v>42</v>
      </c>
      <c r="W974" s="1">
        <v>96</v>
      </c>
    </row>
    <row r="975" spans="10:23" x14ac:dyDescent="0.3">
      <c r="J975">
        <v>1200</v>
      </c>
      <c r="K975">
        <v>1</v>
      </c>
      <c r="U975" t="s">
        <v>1072</v>
      </c>
      <c r="V975" t="s">
        <v>73</v>
      </c>
      <c r="W975" s="1">
        <v>96</v>
      </c>
    </row>
    <row r="976" spans="10:23" x14ac:dyDescent="0.3">
      <c r="J976">
        <v>1196</v>
      </c>
      <c r="K976">
        <v>1</v>
      </c>
      <c r="U976" t="s">
        <v>1073</v>
      </c>
      <c r="V976" t="s">
        <v>354</v>
      </c>
      <c r="W976" s="1">
        <v>96</v>
      </c>
    </row>
    <row r="977" spans="10:23" x14ac:dyDescent="0.3">
      <c r="J977">
        <v>1195</v>
      </c>
      <c r="K977">
        <v>1</v>
      </c>
      <c r="U977" t="s">
        <v>1074</v>
      </c>
      <c r="V977" t="s">
        <v>45</v>
      </c>
      <c r="W977" s="1">
        <v>96</v>
      </c>
    </row>
    <row r="978" spans="10:23" x14ac:dyDescent="0.3">
      <c r="J978">
        <v>1189</v>
      </c>
      <c r="K978">
        <v>1</v>
      </c>
      <c r="U978" t="s">
        <v>1075</v>
      </c>
      <c r="V978" t="s">
        <v>17</v>
      </c>
      <c r="W978" s="1">
        <v>96</v>
      </c>
    </row>
    <row r="979" spans="10:23" x14ac:dyDescent="0.3">
      <c r="J979">
        <v>1188</v>
      </c>
      <c r="K979">
        <v>1</v>
      </c>
      <c r="U979" t="s">
        <v>1076</v>
      </c>
      <c r="V979" t="s">
        <v>73</v>
      </c>
      <c r="W979" s="1">
        <v>96</v>
      </c>
    </row>
    <row r="980" spans="10:23" x14ac:dyDescent="0.3">
      <c r="J980">
        <v>1183</v>
      </c>
      <c r="K980">
        <v>1</v>
      </c>
      <c r="U980" t="s">
        <v>1077</v>
      </c>
      <c r="V980" t="s">
        <v>140</v>
      </c>
      <c r="W980" s="1">
        <v>97</v>
      </c>
    </row>
    <row r="981" spans="10:23" x14ac:dyDescent="0.3">
      <c r="J981">
        <v>1177</v>
      </c>
      <c r="K981">
        <v>1</v>
      </c>
      <c r="U981" t="s">
        <v>1078</v>
      </c>
      <c r="V981" t="s">
        <v>37</v>
      </c>
      <c r="W981" s="1">
        <v>97</v>
      </c>
    </row>
    <row r="982" spans="10:23" x14ac:dyDescent="0.3">
      <c r="J982">
        <v>1170</v>
      </c>
      <c r="K982">
        <v>1</v>
      </c>
      <c r="U982" t="s">
        <v>1079</v>
      </c>
      <c r="V982" t="s">
        <v>354</v>
      </c>
      <c r="W982" s="1">
        <v>97</v>
      </c>
    </row>
    <row r="983" spans="10:23" x14ac:dyDescent="0.3">
      <c r="J983">
        <v>1166</v>
      </c>
      <c r="K983">
        <v>1</v>
      </c>
      <c r="U983" t="s">
        <v>1080</v>
      </c>
      <c r="V983" t="s">
        <v>497</v>
      </c>
      <c r="W983" s="1">
        <v>97</v>
      </c>
    </row>
    <row r="984" spans="10:23" x14ac:dyDescent="0.3">
      <c r="J984">
        <v>1164</v>
      </c>
      <c r="K984">
        <v>1</v>
      </c>
      <c r="U984" t="s">
        <v>1081</v>
      </c>
      <c r="V984" t="s">
        <v>71</v>
      </c>
      <c r="W984" s="1">
        <v>972</v>
      </c>
    </row>
    <row r="985" spans="10:23" x14ac:dyDescent="0.3">
      <c r="J985">
        <v>1157</v>
      </c>
      <c r="K985">
        <v>1</v>
      </c>
      <c r="U985" t="s">
        <v>1082</v>
      </c>
      <c r="V985" t="s">
        <v>961</v>
      </c>
      <c r="W985" s="1">
        <v>98</v>
      </c>
    </row>
    <row r="986" spans="10:23" x14ac:dyDescent="0.3">
      <c r="J986">
        <v>1143</v>
      </c>
      <c r="K986">
        <v>1</v>
      </c>
      <c r="U986" t="s">
        <v>1083</v>
      </c>
      <c r="V986" t="s">
        <v>29</v>
      </c>
      <c r="W986" s="1">
        <v>98</v>
      </c>
    </row>
    <row r="987" spans="10:23" x14ac:dyDescent="0.3">
      <c r="J987">
        <v>1140</v>
      </c>
      <c r="K987">
        <v>1</v>
      </c>
      <c r="U987" t="s">
        <v>1084</v>
      </c>
      <c r="V987" t="s">
        <v>65</v>
      </c>
      <c r="W987" s="1">
        <v>98</v>
      </c>
    </row>
    <row r="988" spans="10:23" x14ac:dyDescent="0.3">
      <c r="J988">
        <v>1136</v>
      </c>
      <c r="K988">
        <v>1</v>
      </c>
      <c r="U988" t="s">
        <v>1085</v>
      </c>
      <c r="V988" t="s">
        <v>73</v>
      </c>
      <c r="W988" s="1">
        <v>98</v>
      </c>
    </row>
    <row r="989" spans="10:23" x14ac:dyDescent="0.3">
      <c r="J989">
        <v>1135</v>
      </c>
      <c r="K989">
        <v>1</v>
      </c>
      <c r="U989" t="s">
        <v>1086</v>
      </c>
      <c r="V989" t="s">
        <v>127</v>
      </c>
      <c r="W989" s="1">
        <v>98</v>
      </c>
    </row>
    <row r="990" spans="10:23" x14ac:dyDescent="0.3">
      <c r="J990">
        <v>1134</v>
      </c>
      <c r="K990">
        <v>1</v>
      </c>
      <c r="U990" t="s">
        <v>1087</v>
      </c>
      <c r="V990" t="s">
        <v>168</v>
      </c>
      <c r="W990" s="1">
        <v>98</v>
      </c>
    </row>
    <row r="991" spans="10:23" x14ac:dyDescent="0.3">
      <c r="J991">
        <v>1125</v>
      </c>
      <c r="K991">
        <v>1</v>
      </c>
      <c r="U991" t="s">
        <v>1088</v>
      </c>
      <c r="V991" t="s">
        <v>114</v>
      </c>
      <c r="W991" s="1">
        <v>98</v>
      </c>
    </row>
    <row r="992" spans="10:23" x14ac:dyDescent="0.3">
      <c r="J992">
        <v>1123</v>
      </c>
      <c r="K992">
        <v>1</v>
      </c>
      <c r="U992" t="s">
        <v>1089</v>
      </c>
      <c r="V992" t="s">
        <v>59</v>
      </c>
      <c r="W992" s="1">
        <v>98</v>
      </c>
    </row>
    <row r="993" spans="10:23" x14ac:dyDescent="0.3">
      <c r="J993">
        <v>1116</v>
      </c>
      <c r="K993">
        <v>1</v>
      </c>
      <c r="U993" t="s">
        <v>1090</v>
      </c>
      <c r="V993" t="s">
        <v>45</v>
      </c>
      <c r="W993" s="1">
        <v>982</v>
      </c>
    </row>
    <row r="994" spans="10:23" x14ac:dyDescent="0.3">
      <c r="J994">
        <v>1101</v>
      </c>
      <c r="K994">
        <v>1</v>
      </c>
      <c r="U994" t="s">
        <v>1091</v>
      </c>
      <c r="V994" t="s">
        <v>73</v>
      </c>
      <c r="W994" s="1">
        <v>99</v>
      </c>
    </row>
    <row r="995" spans="10:23" x14ac:dyDescent="0.3">
      <c r="J995">
        <v>1100</v>
      </c>
      <c r="K995">
        <v>1</v>
      </c>
      <c r="U995" t="s">
        <v>1092</v>
      </c>
      <c r="V995" t="s">
        <v>17</v>
      </c>
      <c r="W995" s="1">
        <v>99</v>
      </c>
    </row>
    <row r="996" spans="10:23" x14ac:dyDescent="0.3">
      <c r="J996">
        <v>1099</v>
      </c>
      <c r="K996">
        <v>1</v>
      </c>
      <c r="U996" t="s">
        <v>1093</v>
      </c>
      <c r="V996" t="s">
        <v>961</v>
      </c>
      <c r="W996" s="1">
        <v>99</v>
      </c>
    </row>
    <row r="997" spans="10:23" x14ac:dyDescent="0.3">
      <c r="J997">
        <v>1098</v>
      </c>
      <c r="K997">
        <v>1</v>
      </c>
      <c r="U997" t="s">
        <v>1094</v>
      </c>
      <c r="V997" t="s">
        <v>961</v>
      </c>
      <c r="W997" s="1">
        <v>99</v>
      </c>
    </row>
    <row r="998" spans="10:23" x14ac:dyDescent="0.3">
      <c r="J998">
        <v>1097</v>
      </c>
      <c r="K998">
        <v>1</v>
      </c>
      <c r="U998" t="s">
        <v>1095</v>
      </c>
      <c r="V998" t="s">
        <v>842</v>
      </c>
      <c r="W998" s="1">
        <v>99</v>
      </c>
    </row>
    <row r="999" spans="10:23" x14ac:dyDescent="0.3">
      <c r="J999">
        <v>1096</v>
      </c>
      <c r="K999">
        <v>1</v>
      </c>
      <c r="U999" t="s">
        <v>1096</v>
      </c>
      <c r="V999" t="s">
        <v>48</v>
      </c>
      <c r="W999" s="1">
        <v>99</v>
      </c>
    </row>
    <row r="1000" spans="10:23" x14ac:dyDescent="0.3">
      <c r="J1000">
        <v>1092</v>
      </c>
      <c r="K1000">
        <v>1</v>
      </c>
      <c r="U1000" t="s">
        <v>1097</v>
      </c>
      <c r="V1000" t="s">
        <v>17</v>
      </c>
      <c r="W1000" s="1">
        <v>99</v>
      </c>
    </row>
    <row r="1001" spans="10:23" x14ac:dyDescent="0.3">
      <c r="J1001">
        <v>1091</v>
      </c>
      <c r="K1001">
        <v>1</v>
      </c>
      <c r="U1001" t="s">
        <v>1098</v>
      </c>
      <c r="V1001" t="s">
        <v>25</v>
      </c>
      <c r="W1001" s="1">
        <v>999</v>
      </c>
    </row>
    <row r="1002" spans="10:23" x14ac:dyDescent="0.3">
      <c r="J1002">
        <v>1085</v>
      </c>
      <c r="K1002">
        <v>1</v>
      </c>
      <c r="U1002" t="s">
        <v>1099</v>
      </c>
      <c r="V1002" t="s">
        <v>42</v>
      </c>
      <c r="W1002" s="1">
        <v>999</v>
      </c>
    </row>
    <row r="1003" spans="10:23" x14ac:dyDescent="0.3">
      <c r="J1003">
        <f>AVERAGE(J3:J1002)</f>
        <v>813.48599999999999</v>
      </c>
    </row>
    <row r="1004" spans="10:23" x14ac:dyDescent="0.3">
      <c r="J1004">
        <f>MEDIAN(J3:J1002)</f>
        <v>548.5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6ED9-13F5-4150-8A61-994FE4277234}">
  <dimension ref="B3:C26"/>
  <sheetViews>
    <sheetView zoomScale="66" workbookViewId="0">
      <selection activeCell="C10" sqref="B4:C10"/>
    </sheetView>
  </sheetViews>
  <sheetFormatPr defaultRowHeight="14.4" x14ac:dyDescent="0.3"/>
  <cols>
    <col min="2" max="2" width="15" customWidth="1"/>
  </cols>
  <sheetData>
    <row r="3" spans="2:3" x14ac:dyDescent="0.3">
      <c r="B3" t="s">
        <v>1100</v>
      </c>
      <c r="C3" t="s">
        <v>1</v>
      </c>
    </row>
    <row r="4" spans="2:3" x14ac:dyDescent="0.3">
      <c r="B4" s="3">
        <v>3000000</v>
      </c>
      <c r="C4">
        <v>1</v>
      </c>
    </row>
    <row r="5" spans="2:3" x14ac:dyDescent="0.3">
      <c r="B5" s="3">
        <v>1500000</v>
      </c>
      <c r="C5">
        <v>1</v>
      </c>
    </row>
    <row r="6" spans="2:3" x14ac:dyDescent="0.3">
      <c r="B6" s="3">
        <v>600000</v>
      </c>
      <c r="C6">
        <v>4</v>
      </c>
    </row>
    <row r="7" spans="2:3" x14ac:dyDescent="0.3">
      <c r="B7" s="3">
        <v>300000</v>
      </c>
      <c r="C7">
        <v>1</v>
      </c>
    </row>
    <row r="8" spans="2:3" x14ac:dyDescent="0.3">
      <c r="B8" s="3">
        <v>240000</v>
      </c>
      <c r="C8">
        <v>4</v>
      </c>
    </row>
    <row r="9" spans="2:3" x14ac:dyDescent="0.3">
      <c r="B9" s="3">
        <v>12054</v>
      </c>
      <c r="C9">
        <v>1</v>
      </c>
    </row>
    <row r="10" spans="2:3" x14ac:dyDescent="0.3">
      <c r="B10" s="3">
        <v>10332</v>
      </c>
      <c r="C10">
        <v>1</v>
      </c>
    </row>
    <row r="11" spans="2:3" x14ac:dyDescent="0.3">
      <c r="B11" s="3">
        <v>3252</v>
      </c>
      <c r="C11">
        <v>1</v>
      </c>
    </row>
    <row r="12" spans="2:3" x14ac:dyDescent="0.3">
      <c r="B12" s="3">
        <v>2808</v>
      </c>
      <c r="C12">
        <v>1</v>
      </c>
    </row>
    <row r="13" spans="2:3" x14ac:dyDescent="0.3">
      <c r="B13" s="3">
        <v>2694</v>
      </c>
      <c r="C13">
        <v>1</v>
      </c>
    </row>
    <row r="14" spans="2:3" x14ac:dyDescent="0.3">
      <c r="B14" s="3">
        <v>2052</v>
      </c>
      <c r="C14">
        <v>1</v>
      </c>
    </row>
    <row r="15" spans="2:3" x14ac:dyDescent="0.3">
      <c r="B15" s="3">
        <v>1842</v>
      </c>
      <c r="C15">
        <v>1</v>
      </c>
    </row>
    <row r="16" spans="2:3" x14ac:dyDescent="0.3">
      <c r="B16" s="3">
        <v>1596</v>
      </c>
      <c r="C16">
        <v>2</v>
      </c>
    </row>
    <row r="17" spans="2:3" x14ac:dyDescent="0.3">
      <c r="B17" s="3">
        <v>1452</v>
      </c>
      <c r="C17">
        <v>1</v>
      </c>
    </row>
    <row r="18" spans="2:3" x14ac:dyDescent="0.3">
      <c r="B18" s="3">
        <v>1410</v>
      </c>
      <c r="C18">
        <v>1</v>
      </c>
    </row>
    <row r="19" spans="2:3" x14ac:dyDescent="0.3">
      <c r="B19" s="3">
        <v>1350</v>
      </c>
      <c r="C19">
        <v>1</v>
      </c>
    </row>
    <row r="20" spans="2:3" x14ac:dyDescent="0.3">
      <c r="B20" s="3">
        <v>1140</v>
      </c>
      <c r="C20">
        <v>1</v>
      </c>
    </row>
    <row r="21" spans="2:3" x14ac:dyDescent="0.3">
      <c r="B21" s="3">
        <v>972</v>
      </c>
      <c r="C21">
        <v>1</v>
      </c>
    </row>
    <row r="22" spans="2:3" x14ac:dyDescent="0.3">
      <c r="B22" s="3">
        <v>684</v>
      </c>
      <c r="C22">
        <v>1</v>
      </c>
    </row>
    <row r="23" spans="2:3" x14ac:dyDescent="0.3">
      <c r="B23" s="3"/>
    </row>
    <row r="24" spans="2:3" x14ac:dyDescent="0.3">
      <c r="B24" s="3">
        <f>+AVERAGE(B4:B23)</f>
        <v>299138.84210526315</v>
      </c>
    </row>
    <row r="26" spans="2:3" x14ac:dyDescent="0.3">
      <c r="B26">
        <f>+Table6[[#Totals],['# estimated_revenue_l365d]]/365</f>
        <v>819.55847152126887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Chuquimia Quiroz, Diego</dc:creator>
  <cp:lastModifiedBy>Chuquimia Quiroz, Diego</cp:lastModifiedBy>
  <dcterms:created xsi:type="dcterms:W3CDTF">2026-06-07T02:40:45Z</dcterms:created>
  <dcterms:modified xsi:type="dcterms:W3CDTF">2026-06-08T21:27:44Z</dcterms:modified>
</cp:coreProperties>
</file>